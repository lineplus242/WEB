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3F3EA49F-3A04-4C65-A634-08A72D7BE007}" xr6:coauthVersionLast="47" xr6:coauthVersionMax="47" xr10:uidLastSave="{00000000-0000-0000-0000-000000000000}"/>
  <bookViews>
    <workbookView xWindow="28680" yWindow="-120" windowWidth="29040" windowHeight="15720" activeTab="3" xr2:uid="{224DA954-41CF-4EF5-8CBE-28C3F032249C}"/>
  </bookViews>
  <sheets>
    <sheet name="Ⅰ. 표지" sheetId="1" r:id="rId1"/>
    <sheet name="Ⅱ. 개요" sheetId="2" r:id="rId2"/>
    <sheet name="Ⅲ. 점검대상" sheetId="3" r:id="rId3"/>
    <sheet name="template" sheetId="4" r:id="rId4"/>
  </sheets>
  <definedNames>
    <definedName name="고객사">"TextBox 5"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12" i="4"/>
  <c r="G79" i="4"/>
  <c r="I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J79" i="4" l="1"/>
</calcChain>
</file>

<file path=xl/sharedStrings.xml><?xml version="1.0" encoding="utf-8"?>
<sst xmlns="http://schemas.openxmlformats.org/spreadsheetml/2006/main" count="339" uniqueCount="270">
  <si>
    <t>Ⅲ. 점검 대상</t>
    <phoneticPr fontId="1" type="noConversion"/>
  </si>
  <si>
    <t>서버명</t>
    <phoneticPr fontId="1" type="noConversion"/>
  </si>
  <si>
    <t>IP Address</t>
    <phoneticPr fontId="1" type="noConversion"/>
  </si>
  <si>
    <t>OS/Version</t>
  </si>
  <si>
    <t>OS/Version</t>
    <phoneticPr fontId="1" type="noConversion"/>
  </si>
  <si>
    <t>비고</t>
    <phoneticPr fontId="1" type="noConversion"/>
  </si>
  <si>
    <t>Ⅵ. 취약점 상세 현황</t>
    <phoneticPr fontId="1" type="noConversion"/>
  </si>
  <si>
    <t>서버이름</t>
    <phoneticPr fontId="9" type="noConversion"/>
  </si>
  <si>
    <t>HOSTNAME</t>
    <phoneticPr fontId="9" type="noConversion"/>
  </si>
  <si>
    <t>담당부서/담당자</t>
    <phoneticPr fontId="1" type="noConversion"/>
  </si>
  <si>
    <t>IP Address</t>
    <phoneticPr fontId="9" type="noConversion"/>
  </si>
  <si>
    <t>구분</t>
  </si>
  <si>
    <t>순번</t>
    <phoneticPr fontId="13" type="noConversion"/>
  </si>
  <si>
    <t>점검항목</t>
    <phoneticPr fontId="9" type="noConversion"/>
  </si>
  <si>
    <t>중요도</t>
    <phoneticPr fontId="13" type="noConversion"/>
  </si>
  <si>
    <t>1. 계정관리</t>
    <phoneticPr fontId="1" type="noConversion"/>
  </si>
  <si>
    <t>상</t>
    <phoneticPr fontId="1" type="noConversion"/>
  </si>
  <si>
    <t>중</t>
    <phoneticPr fontId="1" type="noConversion"/>
  </si>
  <si>
    <t>하</t>
    <phoneticPr fontId="1" type="noConversion"/>
  </si>
  <si>
    <t>2. 파일 및 디렉터리 관리</t>
    <phoneticPr fontId="1" type="noConversion"/>
  </si>
  <si>
    <t>3. 서비스 관리</t>
    <phoneticPr fontId="1" type="noConversion"/>
  </si>
  <si>
    <t>4. 패치 관리</t>
    <phoneticPr fontId="1" type="noConversion"/>
  </si>
  <si>
    <t>5. 로그 관리</t>
    <phoneticPr fontId="1" type="noConversion"/>
  </si>
  <si>
    <t>합계</t>
    <phoneticPr fontId="13" type="noConversion"/>
  </si>
  <si>
    <t>보안점검</t>
    <phoneticPr fontId="1" type="noConversion"/>
  </si>
  <si>
    <t>결과</t>
    <phoneticPr fontId="1" type="noConversion"/>
  </si>
  <si>
    <t>현황</t>
    <phoneticPr fontId="1" type="noConversion"/>
  </si>
  <si>
    <t>U-01</t>
    <phoneticPr fontId="1" type="noConversion"/>
  </si>
  <si>
    <t>U-02</t>
    <phoneticPr fontId="1" type="noConversion"/>
  </si>
  <si>
    <t>U-03</t>
  </si>
  <si>
    <t>U-04</t>
  </si>
  <si>
    <t>U-05</t>
  </si>
  <si>
    <t>U-06</t>
  </si>
  <si>
    <t>U-07</t>
  </si>
  <si>
    <t>U-08</t>
  </si>
  <si>
    <t>U-09</t>
  </si>
  <si>
    <t>U-10</t>
  </si>
  <si>
    <t>U-11</t>
  </si>
  <si>
    <t>U-12</t>
  </si>
  <si>
    <t>U-13</t>
  </si>
  <si>
    <t>U-14</t>
  </si>
  <si>
    <t>U-15</t>
  </si>
  <si>
    <t>U-16</t>
  </si>
  <si>
    <t>U-17</t>
  </si>
  <si>
    <t>U-18</t>
  </si>
  <si>
    <t>U-19</t>
  </si>
  <si>
    <t>U-20</t>
  </si>
  <si>
    <t>U-21</t>
  </si>
  <si>
    <t>U-22</t>
  </si>
  <si>
    <t>U-23</t>
  </si>
  <si>
    <t>U-24</t>
  </si>
  <si>
    <t>U-25</t>
  </si>
  <si>
    <t>U-26</t>
  </si>
  <si>
    <t>U-27</t>
  </si>
  <si>
    <t>U-28</t>
  </si>
  <si>
    <t>U-29</t>
  </si>
  <si>
    <t>U-30</t>
  </si>
  <si>
    <t>U-31</t>
  </si>
  <si>
    <t>U-32</t>
  </si>
  <si>
    <t>U-33</t>
  </si>
  <si>
    <t>U-34</t>
  </si>
  <si>
    <t>U-35</t>
  </si>
  <si>
    <t>U-36</t>
  </si>
  <si>
    <t>U-37</t>
  </si>
  <si>
    <t>U-38</t>
  </si>
  <si>
    <t>U-39</t>
  </si>
  <si>
    <t>U-40</t>
  </si>
  <si>
    <t>U-41</t>
  </si>
  <si>
    <t>U-42</t>
  </si>
  <si>
    <t>U-43</t>
  </si>
  <si>
    <t>U-44</t>
  </si>
  <si>
    <t>U-45</t>
  </si>
  <si>
    <t>U-46</t>
  </si>
  <si>
    <t>U-47</t>
  </si>
  <si>
    <t>U-48</t>
  </si>
  <si>
    <t>U-49</t>
  </si>
  <si>
    <t>U-50</t>
  </si>
  <si>
    <t>U-51</t>
  </si>
  <si>
    <t>U-52</t>
  </si>
  <si>
    <t>U-53</t>
  </si>
  <si>
    <t>U-54</t>
  </si>
  <si>
    <t>U-55</t>
  </si>
  <si>
    <t>U-56</t>
  </si>
  <si>
    <t>U-57</t>
  </si>
  <si>
    <t>U-58</t>
  </si>
  <si>
    <t>U-59</t>
  </si>
  <si>
    <t>U-60</t>
  </si>
  <si>
    <t>U-61</t>
  </si>
  <si>
    <t>U-62</t>
  </si>
  <si>
    <t>U-63</t>
  </si>
  <si>
    <t>U-64</t>
  </si>
  <si>
    <t>U-65</t>
  </si>
  <si>
    <t>U-66</t>
  </si>
  <si>
    <t>U-67</t>
  </si>
  <si>
    <t>점수</t>
    <phoneticPr fontId="1" type="noConversion"/>
  </si>
  <si>
    <t>점검기준</t>
    <phoneticPr fontId="1" type="noConversion"/>
  </si>
  <si>
    <t>점수</t>
    <phoneticPr fontId="13" type="noConversion"/>
  </si>
  <si>
    <t>인터뷰 사항</t>
    <phoneticPr fontId="1" type="noConversion"/>
  </si>
  <si>
    <t>권고사항</t>
  </si>
  <si>
    <t>담당자 의견</t>
    <phoneticPr fontId="1" type="noConversion"/>
  </si>
  <si>
    <t>root 계정 원격 접속 제한</t>
    <phoneticPr fontId="1" type="noConversion"/>
  </si>
  <si>
    <t>[양호] 원격터미널 서비스를 사용하지 않거나, 사용 시 root 직접 접속을 차단한 경우
[취약] 원격터미널 서비스 사용 시 root 직접 접속을 허용한 경우</t>
    <phoneticPr fontId="1" type="noConversion"/>
  </si>
  <si>
    <t>양호</t>
  </si>
  <si>
    <t>비밀번호 관리정책 설정</t>
    <phoneticPr fontId="1" type="noConversion"/>
  </si>
  <si>
    <t>[양호] 비밀번호 관리 정책이 설정된 경우
[취약] 비밀번호 관리 정책이 설정되지 않은 경우</t>
    <phoneticPr fontId="1" type="noConversion"/>
  </si>
  <si>
    <t>계정 잠금 임계값 설정</t>
    <phoneticPr fontId="1" type="noConversion"/>
  </si>
  <si>
    <t>비밀번호 파일 보호</t>
    <phoneticPr fontId="1" type="noConversion"/>
  </si>
  <si>
    <t>root 이외의 UID가 '0' 금지</t>
    <phoneticPr fontId="1" type="noConversion"/>
  </si>
  <si>
    <t>사용자 계정 su 기능 제한</t>
    <phoneticPr fontId="1" type="noConversion"/>
  </si>
  <si>
    <t>불필요한 계정 제거</t>
    <phoneticPr fontId="1" type="noConversion"/>
  </si>
  <si>
    <t>관리자 그룹에 최소한의 계정 포함</t>
    <phoneticPr fontId="1" type="noConversion"/>
  </si>
  <si>
    <t>계정이 존재하지 않는 GID 금지</t>
    <phoneticPr fontId="1" type="noConversion"/>
  </si>
  <si>
    <t>동일한 UID 금지</t>
    <phoneticPr fontId="1" type="noConversion"/>
  </si>
  <si>
    <t>[양호] 동일한 UID로 설정된 사용자 계정이 존재하지 않는 경우
[취약] 동일한 UID로 설정된 사용자 계정이 존재하는 경우</t>
    <phoneticPr fontId="1" type="noConversion"/>
  </si>
  <si>
    <t>사용자 shell 점검</t>
    <phoneticPr fontId="1" type="noConversion"/>
  </si>
  <si>
    <t>[양호] 로그인이 필요하지 않은 계정에 /bin/false(/sbin/nologin) 쉘이 부여된 경우
[취약] 로그인이 필요하지 않은 계정에 /bin/false(/sbin/nologin) 쉘이 부여되지 않은 경우</t>
    <phoneticPr fontId="1" type="noConversion"/>
  </si>
  <si>
    <t>세션 종료 시간 설정</t>
    <phoneticPr fontId="1" type="noConversion"/>
  </si>
  <si>
    <t>안전한 비밀번호 암호화 알고리즘 사용</t>
    <phoneticPr fontId="1" type="noConversion"/>
  </si>
  <si>
    <t>root 홈, 패스 디렉터리 권한 및 패스 설정</t>
    <phoneticPr fontId="1" type="noConversion"/>
  </si>
  <si>
    <t>파일 및 디렉터리 소유자 설정</t>
    <phoneticPr fontId="1" type="noConversion"/>
  </si>
  <si>
    <t>/etc/passwd 파일 소유자 및 권한 설정</t>
    <phoneticPr fontId="1" type="noConversion"/>
  </si>
  <si>
    <t>시스템 시작 스크립트 권한 설정</t>
    <phoneticPr fontId="1" type="noConversion"/>
  </si>
  <si>
    <t>/etc/shadow 파일의 소유자가 root이고, 권한이 400 이하인 경우</t>
    <phoneticPr fontId="1" type="noConversion"/>
  </si>
  <si>
    <t>/etc/hosts 파일 소유자 및 권한 설정</t>
    <phoneticPr fontId="1" type="noConversion"/>
  </si>
  <si>
    <t>/etc/(x)inetd.conf 파일 소유자 및 권한 설정</t>
    <phoneticPr fontId="1" type="noConversion"/>
  </si>
  <si>
    <t>/etc/(r)syslog.conf 파일 소유자 및 권한 설정</t>
    <phoneticPr fontId="1" type="noConversion"/>
  </si>
  <si>
    <t>/etc/services 파일 소유자 및 권한 설정</t>
    <phoneticPr fontId="1" type="noConversion"/>
  </si>
  <si>
    <t>SUID, SGID, Sticky bit 설정 파일 점검</t>
    <phoneticPr fontId="1" type="noConversion"/>
  </si>
  <si>
    <t>사용자, 시스템 환경변수 파일 소유자 및 권한 설정</t>
    <phoneticPr fontId="1" type="noConversion"/>
  </si>
  <si>
    <t>world writable 파일 점검</t>
    <phoneticPr fontId="1" type="noConversion"/>
  </si>
  <si>
    <t>/dev에 존재하지 않는 device 파일 점검</t>
    <phoneticPr fontId="1" type="noConversion"/>
  </si>
  <si>
    <t>$HOME/.rhosts, hosts.equiv 사용 금지</t>
    <phoneticPr fontId="1" type="noConversion"/>
  </si>
  <si>
    <t>접속 IP 및 포트 제한</t>
    <phoneticPr fontId="1" type="noConversion"/>
  </si>
  <si>
    <t>hosts.lpd 파일 소유자 및 권한 설정</t>
    <phoneticPr fontId="1" type="noConversion"/>
  </si>
  <si>
    <t>UMASK 설정 관리</t>
    <phoneticPr fontId="1" type="noConversion"/>
  </si>
  <si>
    <t>홈디렉토리 소유자 및 권한 설정</t>
    <phoneticPr fontId="1" type="noConversion"/>
  </si>
  <si>
    <t>홈 디렉토리로 지정한 디렉토리의 존재 관리</t>
    <phoneticPr fontId="1" type="noConversion"/>
  </si>
  <si>
    <t>숨겨진 파일 및 디렉토리 검색 및 제거</t>
    <phoneticPr fontId="1" type="noConversion"/>
  </si>
  <si>
    <t>Finger 서비스 비활성화</t>
    <phoneticPr fontId="1" type="noConversion"/>
  </si>
  <si>
    <t>공유 서비스에 대한 익명 접근 제한 설정</t>
    <phoneticPr fontId="1" type="noConversion"/>
  </si>
  <si>
    <t>r 계열 서비스 비활성화</t>
    <phoneticPr fontId="1" type="noConversion"/>
  </si>
  <si>
    <t>crontab 설정파일 권한 설정 미흡</t>
    <phoneticPr fontId="1" type="noConversion"/>
  </si>
  <si>
    <t>DoS 공격에 취약한 서비스 비활성화</t>
    <phoneticPr fontId="1" type="noConversion"/>
  </si>
  <si>
    <t>불필요한 NFS 서비스 비활성화</t>
    <phoneticPr fontId="1" type="noConversion"/>
  </si>
  <si>
    <t>[양호] 불필요한 NFS 서비스 관련 데몬이 비활성화된 경우
[취약] 불필요한 NFS 서비스 관련 데몬이 활성화된 경우</t>
    <phoneticPr fontId="1" type="noConversion"/>
  </si>
  <si>
    <t>NFS 접근 통제</t>
    <phoneticPr fontId="1" type="noConversion"/>
  </si>
  <si>
    <t>불필요한 automountd 제거</t>
    <phoneticPr fontId="1" type="noConversion"/>
  </si>
  <si>
    <t>불필요한 RPC 서비스 비활성화</t>
    <phoneticPr fontId="1" type="noConversion"/>
  </si>
  <si>
    <t>NIS, NIS+ 점검</t>
    <phoneticPr fontId="1" type="noConversion"/>
  </si>
  <si>
    <t>tftp, talk 서비스 비활성화</t>
    <phoneticPr fontId="1" type="noConversion"/>
  </si>
  <si>
    <t>메일 서비스 버전 점검</t>
    <phoneticPr fontId="1" type="noConversion"/>
  </si>
  <si>
    <t>[양호] 메일 서비스 버전이 최신 버전인 경우
[취약] 메일 서비스 버전이 최신 버전이 아닌 경우</t>
    <phoneticPr fontId="1" type="noConversion"/>
  </si>
  <si>
    <t>일반 사용자의 메일 서비스 실행 방지</t>
    <phoneticPr fontId="1" type="noConversion"/>
  </si>
  <si>
    <t>스팸 메일 릴레이 제한</t>
    <phoneticPr fontId="1" type="noConversion"/>
  </si>
  <si>
    <t>expn, vrfy 명령어 제한</t>
    <phoneticPr fontId="1" type="noConversion"/>
  </si>
  <si>
    <t>[양호] noexpn, novrfy 옵션이 설정된 경우
[취약] noexpn, novrfy 옵션이 설정되어 있지 않은 경우</t>
    <phoneticPr fontId="1" type="noConversion"/>
  </si>
  <si>
    <t>DNS 보안 버전 패치</t>
    <phoneticPr fontId="1" type="noConversion"/>
  </si>
  <si>
    <t>[양호] 주기적으로 패치를 관리하는 경우
[취약] 주기적으로 패치를 관리하고 있지 않은 경우</t>
    <phoneticPr fontId="1" type="noConversion"/>
  </si>
  <si>
    <t>DNS ZoneTransfer 설정</t>
    <phoneticPr fontId="1" type="noConversion"/>
  </si>
  <si>
    <t>[양호] Zone Transfer를 허가된 사용자에게만 허용한 경우
[취약] Zone Transfer를 모든 사용자에게 허용한 경우</t>
    <phoneticPr fontId="1" type="noConversion"/>
  </si>
  <si>
    <t>DNS 서비스의 취약한 동적 업데이트 설정 금지</t>
    <phoneticPr fontId="1" type="noConversion"/>
  </si>
  <si>
    <t>Telnet 서비스 비활성화</t>
    <phoneticPr fontId="1" type="noConversion"/>
  </si>
  <si>
    <t>FTP 서비스 정보 노출 제한</t>
    <phoneticPr fontId="1" type="noConversion"/>
  </si>
  <si>
    <t>암호화되지 않는 FTP 서비스 비활성화</t>
    <phoneticPr fontId="1" type="noConversion"/>
  </si>
  <si>
    <t>FTP 계정 shell 제한</t>
    <phoneticPr fontId="1" type="noConversion"/>
  </si>
  <si>
    <t>[양호] FTP 계정에 /bin/false(/sbin/nologin) 쉘이 부여된 경우
[취약] FTP 계정에 /bin/false(/sbin/nologin) 쉘이 부여되어 있지 않은 경우</t>
    <phoneticPr fontId="1" type="noConversion"/>
  </si>
  <si>
    <t>FTP 서비스 접근 제어 설정</t>
    <phoneticPr fontId="1" type="noConversion"/>
  </si>
  <si>
    <t>[양호] 특정 IP주소 또는 호스트에서만 FTP 서버에 접속할 수 있도록 접근 제어 설정을 적용한 경우
[취약] FTP 서버에 접근 제어 설정을 적용하지 않은 경우</t>
    <phoneticPr fontId="1" type="noConversion"/>
  </si>
  <si>
    <t>Ftpusers 파일 설정</t>
    <phoneticPr fontId="1" type="noConversion"/>
  </si>
  <si>
    <t>불필요한 SNMP 서비스 구동 점검</t>
    <phoneticPr fontId="1" type="noConversion"/>
  </si>
  <si>
    <t>[양호] SNMP 서비스를 사용하지 않는 경우
[취약] SNMP 서비스를 사용하는 경우</t>
    <phoneticPr fontId="1" type="noConversion"/>
  </si>
  <si>
    <t>안전한 SNMP 버전 사용</t>
    <phoneticPr fontId="1" type="noConversion"/>
  </si>
  <si>
    <t>[양호] SNMP 서비스를 v3 이상으로 사용하는 경우
[취약] SNMP 서비스를 v2 이하로 사용하는 경우</t>
    <phoneticPr fontId="1" type="noConversion"/>
  </si>
  <si>
    <t>SNMP Community String 복잡성 설정</t>
    <phoneticPr fontId="1" type="noConversion"/>
  </si>
  <si>
    <t>SNMP Access Control 설정</t>
    <phoneticPr fontId="1" type="noConversion"/>
  </si>
  <si>
    <t>로그인 시 경고 메시지 설정</t>
    <phoneticPr fontId="1" type="noConversion"/>
  </si>
  <si>
    <t>sudo 명령어 접근 관리</t>
    <phoneticPr fontId="1" type="noConversion"/>
  </si>
  <si>
    <t>주기적 보안 패치 및 벤더 권고사항 적용</t>
    <phoneticPr fontId="1" type="noConversion"/>
  </si>
  <si>
    <t>NTP 및 시각 동기화 설정</t>
    <phoneticPr fontId="1" type="noConversion"/>
  </si>
  <si>
    <t>정책에 따른 시스템 로깅 설정</t>
    <phoneticPr fontId="1" type="noConversion"/>
  </si>
  <si>
    <t>로그 디렉터리 소유자 및 권한 설정</t>
    <phoneticPr fontId="1" type="noConversion"/>
  </si>
  <si>
    <t>[양호] 소유자가 존재하지 않는 파일 및 디렉터리가 존재하지 않는 경우
[취약] 소유자가 존재하지 않는 파일 및 디렉터리가 존재하는 경우</t>
    <phoneticPr fontId="1" type="noConversion"/>
  </si>
  <si>
    <t>[양호] 계정 잠금 임계값이 10회 이하의 값으로 설정된 경우
[취약] 계정 잠금 임계값이 설정되어 있지 않거나, 10회 이하의 값으로 설정되지 않은 경우</t>
    <phoneticPr fontId="1" type="noConversion"/>
  </si>
  <si>
    <t>[양호] 쉐도우 비밀번호를 사용하거나, 비밀번호를 암호화하여 저장하는 경우
[취약] 쉐도우 비밀번호를 사용하지 않고, 비밀번호를 암호화하여 저장하지 않는 경우</t>
    <phoneticPr fontId="1" type="noConversion"/>
  </si>
  <si>
    <t>[양호] root 계정과 동일한 UID를 갖는 계정이 존재하지 않는 경우
[취약] root 계정과 동일한 UID를 갖는 계정이 존재하는 경우</t>
    <phoneticPr fontId="1" type="noConversion"/>
  </si>
  <si>
    <t>[양호] su 명령어를 특정 그룹에 속한 사용자만 사용하도록 제한된 경우
※ 일반 사용자 계정 없이 root 계정만 사용하는 경우 su 명령어 사용 제한 불필요
[취약] su 명령어를 모든 사용자가 사용하도록 설정된 경우</t>
    <phoneticPr fontId="1" type="noConversion"/>
  </si>
  <si>
    <t>[양호] 불필요한 계정이 존재하지 않는 경우
[취약] 불필요한 계정이 존재하는 경우</t>
    <phoneticPr fontId="1" type="noConversion"/>
  </si>
  <si>
    <t>[양호] 관리자 그룹에 불필요한 계정이 등록되어 있지 않은 경우
[취약] 관리자 그룹에 불필요한 계정이 등록된 경우</t>
    <phoneticPr fontId="1" type="noConversion"/>
  </si>
  <si>
    <t>[양호] 시스템 관리나 운용에 불필요한 그룹이 제거된 경우
[취약] 시스템 관리나 운용에 불필요한 그룹이 존재하는 경우</t>
    <phoneticPr fontId="1" type="noConversion"/>
  </si>
  <si>
    <t>[양호] Session Timeout이 600초(10분) 이하로 설정된 경우
[취약] Session Timeout이 600초(10분) 이하로 설정되지 않은 경우</t>
    <phoneticPr fontId="1" type="noConversion"/>
  </si>
  <si>
    <t>[양호] SHA-2 이상의 안전한 비밀번호 암호화 알고리즘을 사용하는 경우
[취약] 취약한 비밀번호 암호화 알고리즘을 사용하는 경우</t>
    <phoneticPr fontId="1" type="noConversion"/>
  </si>
  <si>
    <t>[양호] PATH 환경변수에 “.” 이 맨 앞이나 중간에 포함되지 않은 경우
[취약] PATH 환경변수에 “.” 이 맨 앞이나 중간에 포함된 경우</t>
    <phoneticPr fontId="1" type="noConversion"/>
  </si>
  <si>
    <t>[양호] /etc/passwd 파일의 소유자가 root이고, 권한이 644 이하인 경우
[취약] /etc/passwd 파일의 소유자가 root가 아니거나, 권한이 644 이하가 아닌 경우</t>
    <phoneticPr fontId="1" type="noConversion"/>
  </si>
  <si>
    <t>[양호] 시스템 시작 스크립트 파일의 소유자가 root이고, 일반 사용자의 쓰기 권한이 제거된 경우
[취약] 시스템 시작 스크립트 파일의 소유자가 root가 아니거나, 일반 사용자의 쓰기 권한이 부여된 경우</t>
    <phoneticPr fontId="1" type="noConversion"/>
  </si>
  <si>
    <t>[양호] /etc/shadow 파일의 소유자가 root이고, 권한이 400 이하인 경우
[취약] /etc/shadow 파일의 소유자가 root가 아니거나, 권한이 400 이하가 아닌 경우</t>
    <phoneticPr fontId="1" type="noConversion"/>
  </si>
  <si>
    <t>[양호] /etc/hosts 파일의 소유자가 root이고, 권한이 644 이하인 경우
[취약] /etc/hosts 파일의 소유자가 root가 아니거나, 권한이 644 이하가 아닌 경우</t>
    <phoneticPr fontId="1" type="noConversion"/>
  </si>
  <si>
    <t>[양호] /etc/(x)inetd.conf 파일의 소유자가 root이고, 권한이 600 이하인 경우
[취약] /etc/(x)inetd.conf 파일의 소유자가 root가 아니거나, 권한이 600 이하가 아닌 경우</t>
    <phoneticPr fontId="1" type="noConversion"/>
  </si>
  <si>
    <t>[양호] /etc/(r)syslog.conf 파일의 소유자가 root(또는 bin, sys)이고, 권한이 640 이하인 경우
[취약] /etc/(r)syslog.conf 파일의 소유자가 root(또는 bin, sys)가 아니거나, 권한이 640 이하가 아닌 경우</t>
    <phoneticPr fontId="1" type="noConversion"/>
  </si>
  <si>
    <t>[양호] /etc/services 파일의 소유자가 root(또는 bin, sys)이고, 권한이 644 이하인 경우
[취약] /etc/services 파일의 소유자가 root(또는 bin, sys)가 아니거나, 권한이 644 이하가 아닌 경우</t>
    <phoneticPr fontId="1" type="noConversion"/>
  </si>
  <si>
    <t>[양호] 주요 실행 파일의 권한에 SUID와 SGID에 대한 설정이 부여되어 있지 않은 경우
[취약] 주요 실행 파일의 권한에 SUID와 SGID에 대한 설정이 부여된 경우</t>
    <phoneticPr fontId="1" type="noConversion"/>
  </si>
  <si>
    <t>[양호] 홈 디렉터리 환경변수 파일 소유자가 root 또는 해당 계정으로 지정되어 있고, 홈 디렉터리 환경변수 파일에 root 계정과 소유자만 쓰기 권한이 부여된 경우
[취약] 홈 디렉터리 환경변수 파일 소유자가 root 또는 해당 계정으로 지정되지 않거나, 홈 디렉터리 환경변수 파일에 root 계정과 소유자 외에 쓰기 권한이 부여된 경우</t>
    <phoneticPr fontId="1" type="noConversion"/>
  </si>
  <si>
    <t>[양호] world writable 파일이 존재하지 않거나, 존재 시 설정 이유를 인지하고 있는 경우
[취약] world writable 파일이 존재하나 설정 이유를 인지하지 못하고 있는 경우</t>
    <phoneticPr fontId="1" type="noConversion"/>
  </si>
  <si>
    <t>[양호] /dev 디렉터리에 대한 파일 점검 후 존재하지 않는 device 파일을 제거한 경우
[취약] /dev 디렉터리에 대한 파일 미점검 또는 존재하지 않는 device 파일을 방치한 경우</t>
    <phoneticPr fontId="1" type="noConversion"/>
  </si>
  <si>
    <t>[양호] rlogin, rsh, rexec 서비스를 사용하지 않거나, 사용 시 아래와 같은 설정이 적용된 경우
1. /etc/hosts.equiv 및 $HOME/.rhosts 파일 소유자가 root 또는 해당 계정인 경우
2. /etc/hosts.equiv 및 $HOME/.rhosts 파일 권한이 600 이하인 경우
3. /etc/hosts.equiv 및 $HOME/.rhosts 파일 설정에 “+” 설정이 없는 경우
[취약] rlogin, rsh, rexec 서비스를 사용하며 아래와 같은 설정이 적용되지 않은 경우
1. /etc/hosts.equiv 및 $HOME/.rhosts 파일 소유자가 root 또는 해당 계정이 아닌 경우
2. /etc/hosts.equiv 및 $HOME/.rhosts 파일 권한이 600을 초과한 경우
3. /etc/hosts.equiv 및 $HOME/.rhosts 파일 설정에 “+” 설정이 존재하는 경우</t>
    <phoneticPr fontId="1" type="noConversion"/>
  </si>
  <si>
    <t>[양호] 접속을 허용할 특정 호스트에 대한 IP주소 및 포트 제한을 설정한 경우
[취약] 접속을 허용할 특정 호스트에 대한 IP주소 및 포트 제한을 설정하지 않은 경우</t>
    <phoneticPr fontId="1" type="noConversion"/>
  </si>
  <si>
    <t>[양호] /etc/hosts.lpd 파일이 존재하지 않거나, 불가피하게 사용 시 /etc/hosts.lpd 파일의 소유자가 root이고, 권한이 600 이하인 경우
[취약] /etc/hosts.lpd 파일이 존재하며, 파일의 소유자가 root가 아니거나, 권한이 600 이하가 아닌 경우</t>
    <phoneticPr fontId="1" type="noConversion"/>
  </si>
  <si>
    <t>[양호] UMASK 값이 022 이상으로 설정된 경우
[취약] UMASK 값이 022 미만으로 설정된 경우</t>
    <phoneticPr fontId="1" type="noConversion"/>
  </si>
  <si>
    <t>[양호] 홈 디렉토리 소유자가 해당 계정이고, 타 사용자 쓰기 권한이 제거된 경우
[취약] 홈 디렉토리 소유자가 해당 계정이 아니거나, 타 사용자 쓰기 권한이 부여된 경우</t>
    <phoneticPr fontId="1" type="noConversion"/>
  </si>
  <si>
    <t>[양호] 홈 디렉토리가 존재하지 않는 계정이 발견되지 않는 경우
[취약] 홈 디렉토리가 존재하지 않는 계정이 발견된 경우</t>
    <phoneticPr fontId="1" type="noConversion"/>
  </si>
  <si>
    <t>[양호] 불필요하거나 의심스러운 숨겨진 파일 및 디렉토리를 제거한 경우
[취약] 불필요하거나 의심스러운 숨겨진 파일 및 디렉토리를 제거하지 않은 경우</t>
    <phoneticPr fontId="1" type="noConversion"/>
  </si>
  <si>
    <t>[양호] Finger 서비스가 비활성화된 경우
[취약] Finger 서비스가 활성화된 경우</t>
    <phoneticPr fontId="1" type="noConversion"/>
  </si>
  <si>
    <t>[양호] 공유 서비스에 대해 익명 접근을 제한한 경우
[취약] 공유 서비스에 대해 익명 접근을 허용한 경우</t>
    <phoneticPr fontId="1" type="noConversion"/>
  </si>
  <si>
    <t>[양호] 불필요한 r 계열 서비스가 비활성화된 경우
[취약] 불필요한 r 계열 서비스가 활성화된 경우</t>
    <phoneticPr fontId="1" type="noConversion"/>
  </si>
  <si>
    <t>[양호] crontab 및 at 명령어에 일반 사용자 실행 권한이 제거되어 있으며, cron 및 at 관련 파일 권한이 640 이하인 경우
[취약] crontab 및 at 명령어에 일반 사용자 실행 권한이 부여되어 있으며, cron 및 at 관련 파일 권한이 640 이상인 경우</t>
    <phoneticPr fontId="1" type="noConversion"/>
  </si>
  <si>
    <t>[양호] DoS 공격에 취약한 서비스가 비활성화된 경우
[취약] DoS 공격에 취약한 서비스가 활성화된 경우</t>
    <phoneticPr fontId="1" type="noConversion"/>
  </si>
  <si>
    <t>[양호] 접근 통제가 설정되어 있으며 NFS 설정 파일 접근 권한이 644 이하인 경우
[취약] 접근 통제가 설정되어 있지 않고 NFS 설정 파일 접근 권한이 644를 초과하는 경우</t>
    <phoneticPr fontId="1" type="noConversion"/>
  </si>
  <si>
    <t>[양호] automountd 서비스가 비활성화된 경우
[취약] automountd 서비스가 활성화된 경우</t>
    <phoneticPr fontId="1" type="noConversion"/>
  </si>
  <si>
    <t>[양호] 불필요한 RPC 서비스가 비활성화된 경우
[취약] 불필요한 RPC 서비스가 활성화된 경우</t>
    <phoneticPr fontId="1" type="noConversion"/>
  </si>
  <si>
    <t>[양호] NIS 서비스가 비활성화되어 있거나, 불가피하게 사용 시 NIS+ 서비스를 사용하는 경우
[취약] NIS 서비스가 활성화된 경우</t>
    <phoneticPr fontId="1" type="noConversion"/>
  </si>
  <si>
    <t>[양호] tftp, talk, ntalk 서비스가 비활성화된 경우
[취약] tftp, talk, ntalk 서비스가 활성화된 경우</t>
    <phoneticPr fontId="1" type="noConversion"/>
  </si>
  <si>
    <t>[양호] 일반 사용자의 메일 서비스 실행 방지가 설정된 경우
[취약] 일반 사용자의 메일 서비스 실행 방지가 설정되어 있지 않은 경우</t>
    <phoneticPr fontId="1" type="noConversion"/>
  </si>
  <si>
    <t>[양호] 릴레이 제한이 설정된 경우
[취약] 릴레이 제한이 설정되어 있지 않은 경우</t>
    <phoneticPr fontId="1" type="noConversion"/>
  </si>
  <si>
    <t>[양호] DNS 서비스의 동적 업데이트 기능이 비활성화되었거나, 활성화 시 적절한 접근통제를 수행하고 있는 경우
[취약] DNS 서비스의 동적 업데이트 기능이 활성화 중이며 적절한 접근통제를 수행하고 있지 않은 경우</t>
    <phoneticPr fontId="1" type="noConversion"/>
  </si>
  <si>
    <t>[양호] 원격 접속 시 Telnet 프로토콜을 비활성화하고 있는 경우
[취약] 원격 접속 시 Telnet 프로토콜을 사용하는 경우</t>
    <phoneticPr fontId="1" type="noConversion"/>
  </si>
  <si>
    <t>[양호] FTP 접속 배너에 노출되는 정보가 없는 경우
[취약] FTP 접속 배너에 노출되는 정보가 있는 경우</t>
    <phoneticPr fontId="1" type="noConversion"/>
  </si>
  <si>
    <t>[양호] 암호화되지 않은 FTP 서비스가 비활성화된 경우
[취약] 암호화되지 않은 FTP 서비스가 활성화된 경우</t>
    <phoneticPr fontId="1" type="noConversion"/>
  </si>
  <si>
    <t>[양호] root 계정 접속을 차단한 경우
[취약] root 계정 접속을 허용한 경우</t>
    <phoneticPr fontId="1" type="noConversion"/>
  </si>
  <si>
    <t>[양호] SNMP Community String 기본값인 “public”, “private”이 아닌 영문자, 숫자 포함 10자리 이상 또는 영문자, 숫자, 특수문자 포함 8자리 이상인 경우
※ SNMP v3의 경우 별도 인증 기능을 사용하고, 해당 비밀번호가 복잡도를 만족하는 경우 양호
[취약] 아래의 내용 중 하나라도 해당되는 경우
1. SNMP Community String 기본값인 “public”, “private”일 경우
2. 영문자, 숫자 포함 10자리 미만인 경우
3. 영문자, 숫자, 특수문자 포함 8자리 미만인 경우</t>
    <phoneticPr fontId="1" type="noConversion"/>
  </si>
  <si>
    <t>[양호] SNMP 서비스에 접근 제어 설정이 되어 있는 경우
[취약] SNMP 서비스에 접근 제어 설정이 되어 있지 않은 경우</t>
    <phoneticPr fontId="1" type="noConversion"/>
  </si>
  <si>
    <t>[양호] 서버 및 Telnet, FTP, SMTP, DNS 서비스에 로그온 시 경고 메시지가 설정된 경우
[취약] 서버 및 Telnet, FTP, SMTP, DNS 서비스에 로그온 시 경고 메시지가 설정되어 있지 않은 경우</t>
    <phoneticPr fontId="1" type="noConversion"/>
  </si>
  <si>
    <t>[양호] /etc/sudoers 파일 소유자가 root이고, 파일 권한이 640인 경우
[취약] /etc/sudoers 파일 소유자가 root가 아니거나, 파일 권한이 640을 초과하는 경우</t>
    <phoneticPr fontId="1" type="noConversion"/>
  </si>
  <si>
    <t>[양호] 패치 적용 정책을 수립하여 주기적으로 패치 관리를 하고 있으며, 패치 관련 내용을 확인하고 적용하였을 경우
[취약] 패치 적용 정책을 수립하지 않고 주기적으로 패치 관리를 하지 않거나, 패치 관련 내용을 확인하지 않고 적용하지 않고 있는 경우</t>
    <phoneticPr fontId="1" type="noConversion"/>
  </si>
  <si>
    <t>[양호] NTP 및 시각 동기화 설정이 기준에 따라 적용된 경우
[취약] NTP 및 시각 동기화 설정이 기준에 따라 적용되어 있지 않은 경우</t>
    <phoneticPr fontId="1" type="noConversion"/>
  </si>
  <si>
    <t>[양호] 로그 기록 정책이 보안 정책에 따라 설정되어 수립되어 있으며, 로그를 남기고 있는 경우
[취약] 로그 기록 정책 미수립 또는 정책에 따라 설정되어 있지 않거나, 로그를 남기고 있지 않은 경우</t>
    <phoneticPr fontId="1" type="noConversion"/>
  </si>
  <si>
    <t>[양호] 디렉터리 내 로그 파일의 소유자가 root이고, 권한이 644 이하인 경우
[취약] 디렉터리 내 로그 파일의 소유자가 root가 아니거나, 권한이 644를 초과하는 경우</t>
    <phoneticPr fontId="1" type="noConversion"/>
  </si>
  <si>
    <t>수동점검</t>
  </si>
  <si>
    <t>수동점검</t>
    <phoneticPr fontId="1" type="noConversion"/>
  </si>
  <si>
    <t>취약</t>
  </si>
  <si>
    <t>N/A</t>
  </si>
  <si>
    <t xml:space="preserve">Ⅰ. 개 요 </t>
    <phoneticPr fontId="1" type="noConversion"/>
  </si>
  <si>
    <t>1.1. 점검 목적</t>
    <phoneticPr fontId="1" type="noConversion"/>
  </si>
  <si>
    <t>1.2. 기대 효과</t>
    <phoneticPr fontId="1" type="noConversion"/>
  </si>
  <si>
    <t xml:space="preserve"> → 보안점검을 통해 운영 중인 시스템상에 존재하는 취약점 조기에 발견
 → 도출된 결과에 대하여 취약점의 심각성 등을 심층적 분석
 → 현재의 보안수준을 평가하고 이에 대한 종합적인 대응책 도출
 → 도출된 대응책을 통해 운영 중인 웹 서비스의 보안성 강화</t>
    <phoneticPr fontId="1" type="noConversion"/>
  </si>
  <si>
    <t>1.3. 점검 방법</t>
    <phoneticPr fontId="1" type="noConversion"/>
  </si>
  <si>
    <t xml:space="preserve">  서버 취약점 점검은 시스템의 중요 파일의 변조 가능성 및 계정 정보의 정책 등을 점검하여 시스템이 보다 안전한 환경에서 운영될 수 있도록 하는데 목적을 둡니다.</t>
    <phoneticPr fontId="1" type="noConversion"/>
  </si>
  <si>
    <t>구 분</t>
  </si>
  <si>
    <t>점검 방법</t>
  </si>
  <si>
    <t>비 고</t>
    <phoneticPr fontId="1" type="noConversion"/>
  </si>
  <si>
    <t>주요정보통신기반시설
서버(UNIX) 이행점검</t>
    <phoneticPr fontId="1" type="noConversion"/>
  </si>
  <si>
    <t>체크리스트를 이용하여 보안지수를 점검</t>
  </si>
  <si>
    <t>인터뷰</t>
  </si>
  <si>
    <t>스크립트</t>
  </si>
  <si>
    <t>1.4. 점검 항목</t>
    <phoneticPr fontId="1" type="noConversion"/>
  </si>
  <si>
    <t>◎ 점검 등급</t>
    <phoneticPr fontId="1" type="noConversion"/>
  </si>
  <si>
    <t>설 명</t>
  </si>
  <si>
    <t>점검 항목의 보안 설정이 잘 적용되어 있음</t>
  </si>
  <si>
    <t>점검 항목의 보안 설정이 적용되어 있지 않음</t>
  </si>
  <si>
    <t>점검 항목이 해당 시스템과 관련이 없음</t>
  </si>
  <si>
    <t>점검 항목이 취약한 설정으로 되어 있지만 담당자가 인지하고 있음</t>
    <phoneticPr fontId="1" type="noConversion"/>
  </si>
  <si>
    <t>◎ 위험도</t>
    <phoneticPr fontId="1" type="noConversion"/>
  </si>
  <si>
    <t>상</t>
  </si>
  <si>
    <t>관리자 권한을 획득하거나 시스템 정지 가능</t>
  </si>
  <si>
    <t>중</t>
  </si>
  <si>
    <t>일반권한을 획득하거나 주요 정보 유출 가능</t>
  </si>
  <si>
    <t>하</t>
  </si>
  <si>
    <t>시스템 정보 등의 위협은 가능하나 영향력 미비</t>
  </si>
  <si>
    <t xml:space="preserve"> 대구미래교육연구원 에서 운영 중인 서버를 대상으로 보안점검을 수행하여 현재의 보안 수준을 파악, 발견된 취약점에 대한 기술적인 대책을 수립함으로써 의 IT환경을 더욱 신뢰성 있고 안전한 환경을 구축하여, 서비스의 안정성을 확보하는데 있습니다.</t>
    <phoneticPr fontId="1" type="noConversion"/>
  </si>
  <si>
    <t>순서</t>
    <phoneticPr fontId="1" type="noConversion"/>
  </si>
  <si>
    <t>HostName</t>
    <phoneticPr fontId="1" type="noConversion"/>
  </si>
  <si>
    <t>부서/담당자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</si>
</sst>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ajor"/>
    </font>
    <font>
      <b/>
      <sz val="13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EAF5"/>
        <bgColor indexed="64"/>
      </patternFill>
    </fill>
    <fill>
      <patternFill patternType="solid">
        <fgColor rgb="FFF2F2F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3">
    <xf numFmtId="0" fontId="0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9" fillId="0" borderId="0"/>
  </cellStyleXfs>
  <cellXfs count="11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8" fillId="3" borderId="4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2" fillId="4" borderId="4" xfId="0" applyFont="1" applyFill="1" applyBorder="1" applyAlignment="1">
      <alignment horizontal="left" vertical="center" wrapText="1" indent="1"/>
    </xf>
    <xf numFmtId="0" fontId="12" fillId="4" borderId="4" xfId="0" applyFont="1" applyFill="1" applyBorder="1" applyAlignment="1">
      <alignment horizontal="left" vertical="center" indent="1"/>
    </xf>
    <xf numFmtId="0" fontId="12" fillId="3" borderId="4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7" fillId="2" borderId="0" xfId="0" applyFont="1" applyFill="1">
      <alignment vertical="center"/>
    </xf>
    <xf numFmtId="0" fontId="18" fillId="2" borderId="0" xfId="0" applyFont="1" applyFill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7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quotePrefix="1" applyFont="1" applyFill="1" applyBorder="1" applyAlignment="1">
      <alignment horizontal="left" vertical="center" wrapText="1"/>
    </xf>
    <xf numFmtId="0" fontId="4" fillId="0" borderId="6" xfId="0" quotePrefix="1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/>
    </xf>
    <xf numFmtId="0" fontId="6" fillId="0" borderId="8" xfId="0" applyFont="1" applyBorder="1">
      <alignment vertical="center"/>
    </xf>
    <xf numFmtId="9" fontId="15" fillId="0" borderId="8" xfId="1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2" fillId="3" borderId="4" xfId="0" applyFont="1" applyFill="1" applyBorder="1">
      <alignment vertical="center"/>
    </xf>
    <xf numFmtId="0" fontId="12" fillId="4" borderId="5" xfId="0" applyFont="1" applyFill="1" applyBorder="1" applyAlignment="1">
      <alignment horizontal="left" vertical="center" indent="1"/>
    </xf>
    <xf numFmtId="0" fontId="12" fillId="4" borderId="6" xfId="0" applyFont="1" applyFill="1" applyBorder="1" applyAlignment="1">
      <alignment horizontal="left" vertical="center" indent="1"/>
    </xf>
    <xf numFmtId="0" fontId="12" fillId="4" borderId="6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left" vertical="center" indent="1"/>
    </xf>
    <xf numFmtId="0" fontId="12" fillId="4" borderId="5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12" fillId="3" borderId="4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9" fillId="0" borderId="11" xfId="0" applyFont="1" applyBorder="1">
      <alignment vertical="center"/>
    </xf>
    <xf numFmtId="0" fontId="19" fillId="0" borderId="0" xfId="0" applyFont="1">
      <alignment vertical="center"/>
    </xf>
    <xf numFmtId="0" fontId="27" fillId="6" borderId="4" xfId="0" applyFont="1" applyFill="1" applyBorder="1" applyAlignment="1">
      <alignment horizontal="center" vertical="center" wrapText="1"/>
    </xf>
    <xf numFmtId="0" fontId="27" fillId="7" borderId="4" xfId="0" applyFont="1" applyFill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7" fillId="8" borderId="4" xfId="0" applyFont="1" applyFill="1" applyBorder="1" applyAlignment="1">
      <alignment horizontal="center" vertical="center" wrapText="1"/>
    </xf>
    <xf numFmtId="0" fontId="27" fillId="9" borderId="4" xfId="0" applyFont="1" applyFill="1" applyBorder="1" applyAlignment="1">
      <alignment horizontal="center" vertical="center" wrapText="1"/>
    </xf>
    <xf numFmtId="0" fontId="23" fillId="2" borderId="17" xfId="0" applyFont="1" applyFill="1" applyBorder="1">
      <alignment vertical="center"/>
    </xf>
    <xf numFmtId="0" fontId="19" fillId="2" borderId="17" xfId="0" applyFont="1" applyFill="1" applyBorder="1">
      <alignment vertical="center"/>
    </xf>
    <xf numFmtId="0" fontId="19" fillId="0" borderId="18" xfId="0" applyFont="1" applyBorder="1">
      <alignment vertical="center"/>
    </xf>
    <xf numFmtId="0" fontId="19" fillId="0" borderId="19" xfId="0" applyFont="1" applyBorder="1">
      <alignment vertical="center"/>
    </xf>
    <xf numFmtId="0" fontId="20" fillId="2" borderId="15" xfId="0" applyFont="1" applyFill="1" applyBorder="1" applyAlignment="1">
      <alignment horizontal="left" vertical="center" wrapText="1"/>
    </xf>
    <xf numFmtId="0" fontId="20" fillId="2" borderId="0" xfId="0" applyFont="1" applyFill="1" applyBorder="1" applyAlignment="1">
      <alignment horizontal="left" vertical="center" wrapText="1"/>
    </xf>
    <xf numFmtId="0" fontId="19" fillId="2" borderId="0" xfId="0" applyFont="1" applyFill="1" applyBorder="1">
      <alignment vertical="center"/>
    </xf>
    <xf numFmtId="0" fontId="19" fillId="2" borderId="16" xfId="0" applyFont="1" applyFill="1" applyBorder="1">
      <alignment vertical="center"/>
    </xf>
    <xf numFmtId="0" fontId="19" fillId="0" borderId="15" xfId="0" applyFont="1" applyBorder="1">
      <alignment vertical="center"/>
    </xf>
    <xf numFmtId="0" fontId="21" fillId="2" borderId="0" xfId="0" applyFont="1" applyFill="1" applyBorder="1">
      <alignment vertical="center"/>
    </xf>
    <xf numFmtId="0" fontId="21" fillId="2" borderId="15" xfId="0" applyFont="1" applyFill="1" applyBorder="1">
      <alignment vertical="center"/>
    </xf>
    <xf numFmtId="0" fontId="22" fillId="2" borderId="0" xfId="0" applyFont="1" applyFill="1" applyBorder="1">
      <alignment vertical="center"/>
    </xf>
    <xf numFmtId="0" fontId="23" fillId="2" borderId="0" xfId="0" applyFont="1" applyFill="1" applyBorder="1">
      <alignment vertical="center"/>
    </xf>
    <xf numFmtId="0" fontId="23" fillId="2" borderId="0" xfId="0" applyFont="1" applyFill="1" applyBorder="1" applyAlignment="1">
      <alignment horizontal="center" vertical="center"/>
    </xf>
    <xf numFmtId="0" fontId="24" fillId="2" borderId="0" xfId="0" applyFont="1" applyFill="1" applyBorder="1" applyAlignment="1">
      <alignment horizontal="left" vertical="center" wrapText="1"/>
    </xf>
    <xf numFmtId="0" fontId="23" fillId="2" borderId="0" xfId="0" applyFont="1" applyFill="1" applyBorder="1" applyAlignment="1">
      <alignment vertical="center" wrapText="1"/>
    </xf>
    <xf numFmtId="0" fontId="25" fillId="2" borderId="0" xfId="0" applyFont="1" applyFill="1" applyBorder="1" applyAlignment="1">
      <alignment vertical="center" wrapText="1"/>
    </xf>
    <xf numFmtId="0" fontId="26" fillId="2" borderId="0" xfId="0" applyFont="1" applyFill="1" applyBorder="1" applyAlignment="1">
      <alignment horizontal="left" vertical="center" wrapText="1"/>
    </xf>
    <xf numFmtId="0" fontId="23" fillId="2" borderId="0" xfId="0" applyFont="1" applyFill="1" applyBorder="1" applyAlignment="1">
      <alignment horizontal="left" vertical="center" wrapText="1"/>
    </xf>
    <xf numFmtId="0" fontId="19" fillId="2" borderId="15" xfId="0" applyFont="1" applyFill="1" applyBorder="1">
      <alignment vertical="center"/>
    </xf>
    <xf numFmtId="0" fontId="26" fillId="0" borderId="0" xfId="0" applyFont="1" applyBorder="1" applyAlignment="1">
      <alignment horizontal="center" vertical="center" wrapText="1"/>
    </xf>
    <xf numFmtId="0" fontId="22" fillId="2" borderId="0" xfId="0" applyFont="1" applyFill="1" applyBorder="1" applyAlignment="1">
      <alignment horizontal="left" vertical="center" indent="1"/>
    </xf>
    <xf numFmtId="0" fontId="26" fillId="2" borderId="0" xfId="0" applyFont="1" applyFill="1" applyBorder="1" applyAlignment="1">
      <alignment vertical="center" wrapText="1"/>
    </xf>
    <xf numFmtId="0" fontId="24" fillId="2" borderId="0" xfId="0" applyFont="1" applyFill="1" applyBorder="1">
      <alignment vertical="center"/>
    </xf>
    <xf numFmtId="0" fontId="23" fillId="2" borderId="9" xfId="0" applyFont="1" applyFill="1" applyBorder="1">
      <alignment vertical="center"/>
    </xf>
    <xf numFmtId="0" fontId="19" fillId="2" borderId="10" xfId="0" applyFont="1" applyFill="1" applyBorder="1">
      <alignment vertical="center"/>
    </xf>
    <xf numFmtId="0" fontId="0" fillId="0" borderId="11" xfId="0" applyBorder="1">
      <alignment vertical="center"/>
    </xf>
    <xf numFmtId="0" fontId="28" fillId="2" borderId="0" xfId="0" applyFont="1" applyFill="1">
      <alignment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2" xfId="2" xr:uid="{0BB00005-C7C3-48DA-AE76-B0A9753BB8DF}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3" tint="0.24994659260841701"/>
      </font>
    </dxf>
    <dxf>
      <font>
        <color rgb="FFFF2F39"/>
      </font>
    </dxf>
    <dxf>
      <fill>
        <patternFill>
          <bgColor theme="2" tint="-9.9948118533890809E-2"/>
        </patternFill>
      </fill>
    </dxf>
    <dxf>
      <fill>
        <patternFill>
          <bgColor theme="3" tint="0.89996032593768116"/>
        </patternFill>
      </fill>
    </dxf>
    <dxf>
      <font>
        <color theme="1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2F39"/>
      <color rgb="FF61ACFF"/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687A5B63-7AB8-40A2-870E-538EEEF333F8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783A9B-F6FD-4BA6-A4DA-D52243C894B9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>
    <xdr:from>
      <xdr:col>1</xdr:col>
      <xdr:colOff>403412</xdr:colOff>
      <xdr:row>9</xdr:row>
      <xdr:rowOff>156882</xdr:rowOff>
    </xdr:from>
    <xdr:to>
      <xdr:col>7</xdr:col>
      <xdr:colOff>493060</xdr:colOff>
      <xdr:row>15</xdr:row>
      <xdr:rowOff>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71110A5-210C-46D2-A41E-EE6698095E09}"/>
            </a:ext>
          </a:extLst>
        </xdr:cNvPr>
        <xdr:cNvSpPr/>
      </xdr:nvSpPr>
      <xdr:spPr>
        <a:xfrm>
          <a:off x="1089212" y="2042832"/>
          <a:ext cx="4204448" cy="110041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</xdr:col>
      <xdr:colOff>560294</xdr:colOff>
      <xdr:row>9</xdr:row>
      <xdr:rowOff>33618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48C39C4-26DC-4E52-9F77-57EF18E3868D}"/>
            </a:ext>
          </a:extLst>
        </xdr:cNvPr>
        <xdr:cNvSpPr txBox="1"/>
      </xdr:nvSpPr>
      <xdr:spPr>
        <a:xfrm>
          <a:off x="2617694" y="19195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7</xdr:col>
      <xdr:colOff>342901</xdr:colOff>
      <xdr:row>5</xdr:row>
      <xdr:rowOff>28575</xdr:rowOff>
    </xdr:from>
    <xdr:ext cx="4276725" cy="83819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4C3F84A-9998-4C7F-BE91-75CB039FEE71}"/>
            </a:ext>
          </a:extLst>
        </xdr:cNvPr>
        <xdr:cNvSpPr txBox="1"/>
      </xdr:nvSpPr>
      <xdr:spPr>
        <a:xfrm>
          <a:off x="5143501" y="1076325"/>
          <a:ext cx="4276725" cy="8381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r"/>
          <a:r>
            <a:rPr lang="ko-KR" altLang="en-US" sz="32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대구미래교육연구원</a:t>
          </a:r>
          <a:endParaRPr lang="en-US" altLang="ko-KR" sz="3200" b="0" i="0" u="none" strike="noStrike">
            <a:solidFill>
              <a:srgbClr val="000000"/>
            </a:solidFill>
            <a:latin typeface="HY헤드라인M" panose="02030600000101010101" pitchFamily="18" charset="-127"/>
            <a:ea typeface="HY헤드라인M" panose="02030600000101010101" pitchFamily="18" charset="-127"/>
            <a:cs typeface="+mn-cs"/>
          </a:endParaRPr>
        </a:p>
      </xdr:txBody>
    </xdr:sp>
    <xdr:clientData/>
  </xdr:oneCellAnchor>
  <xdr:oneCellAnchor>
    <xdr:from>
      <xdr:col>0</xdr:col>
      <xdr:colOff>342901</xdr:colOff>
      <xdr:row>9</xdr:row>
      <xdr:rowOff>190500</xdr:rowOff>
    </xdr:from>
    <xdr:ext cx="9048750" cy="1209675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26C34F-BCA9-4841-8245-591EF91C5390}"/>
            </a:ext>
          </a:extLst>
        </xdr:cNvPr>
        <xdr:cNvSpPr txBox="1"/>
      </xdr:nvSpPr>
      <xdr:spPr>
        <a:xfrm>
          <a:off x="342901" y="2076450"/>
          <a:ext cx="9048750" cy="12096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주요정보통신기반시설</a:t>
          </a:r>
          <a:b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</a:br>
          <a:r>
            <a:rPr lang="ko-KR" altLang="ko-KR" sz="2800" b="0" i="0" u="none" strike="noStrike">
              <a:solidFill>
                <a:srgbClr val="000000"/>
              </a:solidFill>
              <a:latin typeface="HY헤드라인M" panose="02030600000101010101" pitchFamily="18" charset="-127"/>
              <a:ea typeface="HY헤드라인M" panose="02030600000101010101" pitchFamily="18" charset="-127"/>
              <a:cs typeface="+mn-cs"/>
            </a:rPr>
            <a:t>서버(UNIX) 이행점검 상세 결과보고서</a:t>
          </a:r>
        </a:p>
      </xdr:txBody>
    </xdr:sp>
    <xdr:clientData/>
  </xdr:oneCellAnchor>
  <xdr:twoCellAnchor>
    <xdr:from>
      <xdr:col>9</xdr:col>
      <xdr:colOff>632460</xdr:colOff>
      <xdr:row>16</xdr:row>
      <xdr:rowOff>9525</xdr:rowOff>
    </xdr:from>
    <xdr:to>
      <xdr:col>13</xdr:col>
      <xdr:colOff>666748</xdr:colOff>
      <xdr:row>19</xdr:row>
      <xdr:rowOff>142875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8FEF84A-C56E-42EE-9E2E-35ECEF2CE9CF}"/>
            </a:ext>
          </a:extLst>
        </xdr:cNvPr>
        <xdr:cNvSpPr txBox="1"/>
      </xdr:nvSpPr>
      <xdr:spPr>
        <a:xfrm>
          <a:off x="6804660" y="3362325"/>
          <a:ext cx="2777488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400" b="1">
              <a:latin typeface="+mj-ea"/>
              <a:ea typeface="+mj-ea"/>
            </a:rPr>
            <a:t>작성일 </a:t>
          </a:r>
          <a:r>
            <a:rPr lang="en-US" altLang="ko-KR" sz="1400" b="1">
              <a:latin typeface="+mj-ea"/>
              <a:ea typeface="+mj-ea"/>
            </a:rPr>
            <a:t>: 2026.04.07.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작성자 </a:t>
          </a:r>
          <a:r>
            <a:rPr lang="en-US" altLang="ko-KR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: </a:t>
          </a:r>
          <a:r>
            <a:rPr lang="ko-KR" altLang="en-US" sz="1400" b="1">
              <a:solidFill>
                <a:schemeClr val="dk1"/>
              </a:solidFill>
              <a:effectLst/>
              <a:latin typeface="+mj-ea"/>
              <a:ea typeface="+mj-ea"/>
              <a:cs typeface="+mn-cs"/>
            </a:rPr>
            <a:t>윤다희</a:t>
          </a:r>
          <a:endParaRPr lang="ko-KR" altLang="ko-KR" sz="1400" b="1">
            <a:effectLst/>
            <a:latin typeface="+mj-ea"/>
            <a:ea typeface="+mj-ea"/>
          </a:endParaRPr>
        </a:p>
      </xdr:txBody>
    </xdr:sp>
    <xdr:clientData/>
  </xdr:twoCellAnchor>
  <xdr:twoCellAnchor>
    <xdr:from>
      <xdr:col>0</xdr:col>
      <xdr:colOff>28575</xdr:colOff>
      <xdr:row>0</xdr:row>
      <xdr:rowOff>19050</xdr:rowOff>
    </xdr:from>
    <xdr:to>
      <xdr:col>13</xdr:col>
      <xdr:colOff>667614</xdr:colOff>
      <xdr:row>31</xdr:row>
      <xdr:rowOff>180976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FF4419BC-454F-4B66-9147-C8E3405F972E}"/>
            </a:ext>
          </a:extLst>
        </xdr:cNvPr>
        <xdr:cNvGrpSpPr/>
      </xdr:nvGrpSpPr>
      <xdr:grpSpPr>
        <a:xfrm>
          <a:off x="28575" y="19050"/>
          <a:ext cx="9513164" cy="6559551"/>
          <a:chOff x="-209550" y="100012"/>
          <a:chExt cx="9554439" cy="6657976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D4FEDE78-1DFB-FDEF-8EE4-500A3B741E77}"/>
              </a:ext>
            </a:extLst>
          </xdr:cNvPr>
          <xdr:cNvSpPr/>
        </xdr:nvSpPr>
        <xdr:spPr>
          <a:xfrm>
            <a:off x="-209550" y="100012"/>
            <a:ext cx="9554439" cy="6657976"/>
          </a:xfrm>
          <a:prstGeom prst="rect">
            <a:avLst/>
          </a:prstGeom>
          <a:noFill/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11" name="직사각형 10">
            <a:extLst>
              <a:ext uri="{FF2B5EF4-FFF2-40B4-BE49-F238E27FC236}">
                <a16:creationId xmlns:a16="http://schemas.microsoft.com/office/drawing/2014/main" id="{E84EF4E4-FBD6-8A27-56C9-F576CD12AD19}"/>
              </a:ext>
            </a:extLst>
          </xdr:cNvPr>
          <xdr:cNvSpPr/>
        </xdr:nvSpPr>
        <xdr:spPr>
          <a:xfrm>
            <a:off x="-201214" y="1988840"/>
            <a:ext cx="9546102" cy="76346"/>
          </a:xfrm>
          <a:prstGeom prst="rect">
            <a:avLst/>
          </a:prstGeom>
          <a:gradFill>
            <a:gsLst>
              <a:gs pos="0">
                <a:srgbClr val="0082CC"/>
              </a:gs>
              <a:gs pos="100000">
                <a:srgbClr val="FE8614"/>
              </a:gs>
              <a:gs pos="67000">
                <a:srgbClr val="0082CC"/>
              </a:gs>
              <a:gs pos="88000">
                <a:srgbClr val="F54C08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grpSp>
        <xdr:nvGrpSpPr>
          <xdr:cNvPr id="12" name="그룹 11">
            <a:extLst>
              <a:ext uri="{FF2B5EF4-FFF2-40B4-BE49-F238E27FC236}">
                <a16:creationId xmlns:a16="http://schemas.microsoft.com/office/drawing/2014/main" id="{20611537-BA24-7D95-94DA-180032669698}"/>
              </a:ext>
            </a:extLst>
          </xdr:cNvPr>
          <xdr:cNvGrpSpPr/>
        </xdr:nvGrpSpPr>
        <xdr:grpSpPr>
          <a:xfrm>
            <a:off x="-192154" y="5666866"/>
            <a:ext cx="9537043" cy="493635"/>
            <a:chOff x="-6102" y="4199018"/>
            <a:chExt cx="8618357" cy="587714"/>
          </a:xfrm>
        </xdr:grpSpPr>
        <xdr:sp macro="" textlink="">
          <xdr:nvSpPr>
            <xdr:cNvPr id="13" name="직사각형 12">
              <a:extLst>
                <a:ext uri="{FF2B5EF4-FFF2-40B4-BE49-F238E27FC236}">
                  <a16:creationId xmlns:a16="http://schemas.microsoft.com/office/drawing/2014/main" id="{719925A2-B6FE-600E-7073-11FDD4F08815}"/>
                </a:ext>
              </a:extLst>
            </xdr:cNvPr>
            <xdr:cNvSpPr/>
          </xdr:nvSpPr>
          <xdr:spPr>
            <a:xfrm>
              <a:off x="-6102" y="4452353"/>
              <a:ext cx="8618357" cy="334379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chemeClr val="tx2">
                  <a:lumMod val="75000"/>
                </a:schemeClr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14" name="직사각형 13">
              <a:extLst>
                <a:ext uri="{FF2B5EF4-FFF2-40B4-BE49-F238E27FC236}">
                  <a16:creationId xmlns:a16="http://schemas.microsoft.com/office/drawing/2014/main" id="{AC479EA2-BFEC-697A-1FF0-243F6CA08CE6}"/>
                </a:ext>
              </a:extLst>
            </xdr:cNvPr>
            <xdr:cNvSpPr/>
          </xdr:nvSpPr>
          <xdr:spPr>
            <a:xfrm>
              <a:off x="-4992" y="4199018"/>
              <a:ext cx="8616953" cy="337783"/>
            </a:xfrm>
            <a:prstGeom prst="rect">
              <a:avLst/>
            </a:prstGeom>
            <a:pattFill prst="pct5">
              <a:fgClr>
                <a:srgbClr val="0071B2"/>
              </a:fgClr>
              <a:bgClr>
                <a:srgbClr val="0082CC"/>
              </a:bgClr>
            </a:patt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</xdr:grpSp>
    </xdr:grpSp>
    <xdr:clientData/>
  </xdr:twoCellAnchor>
  <xdr:twoCellAnchor>
    <xdr:from>
      <xdr:col>0</xdr:col>
      <xdr:colOff>190500</xdr:colOff>
      <xdr:row>0</xdr:row>
      <xdr:rowOff>171450</xdr:rowOff>
    </xdr:from>
    <xdr:to>
      <xdr:col>1</xdr:col>
      <xdr:colOff>390525</xdr:colOff>
      <xdr:row>2</xdr:row>
      <xdr:rowOff>171450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044FA42A-CDC0-4C95-9BA5-007D3FDBB042}"/>
            </a:ext>
          </a:extLst>
        </xdr:cNvPr>
        <xdr:cNvSpPr/>
      </xdr:nvSpPr>
      <xdr:spPr>
        <a:xfrm>
          <a:off x="190500" y="171450"/>
          <a:ext cx="885825" cy="4191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72000" tIns="36000" rIns="72000" bIns="36000" rtlCol="0" anchor="ctr"/>
        <a:lstStyle/>
        <a:p>
          <a:pPr algn="ctr"/>
          <a:r>
            <a:rPr lang="ko-KR" altLang="en-US" sz="1800" b="1">
              <a:solidFill>
                <a:srgbClr val="FF0000"/>
              </a:solidFill>
            </a:rPr>
            <a:t>대외비</a:t>
          </a:r>
        </a:p>
      </xdr:txBody>
    </xdr:sp>
    <xdr:clientData/>
  </xdr:twoCellAnchor>
  <xdr:twoCellAnchor>
    <xdr:from>
      <xdr:col>0</xdr:col>
      <xdr:colOff>428625</xdr:colOff>
      <xdr:row>23</xdr:row>
      <xdr:rowOff>28575</xdr:rowOff>
    </xdr:from>
    <xdr:to>
      <xdr:col>13</xdr:col>
      <xdr:colOff>219075</xdr:colOff>
      <xdr:row>25</xdr:row>
      <xdr:rowOff>200022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F4ADA0D0-AFAD-4372-B185-211F0FA16B71}"/>
            </a:ext>
          </a:extLst>
        </xdr:cNvPr>
        <xdr:cNvSpPr/>
      </xdr:nvSpPr>
      <xdr:spPr>
        <a:xfrm>
          <a:off x="428625" y="4848225"/>
          <a:ext cx="8705850" cy="590547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0" eaLnBrk="1" fontAlgn="base" latinLnBrk="0" hangingPunct="1"/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본 보고서는 보안에 관련된 내용이 기술되어 있으므로 본 문서를 열람할 권한이 없는 자에게 공개를 제한하며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업무관련자 또한 조치완료 후 본 문서를 폐기하여야 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algn="ctr" rtl="0" eaLnBrk="1" fontAlgn="base" latinLnBrk="0" hangingPunct="1"/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따라서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사전 승인 없이 본 내용을 전부 또는 일부에 대한 복사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전제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배포</a:t>
          </a:r>
          <a:r>
            <a:rPr lang="en-US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9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사용 등을 금지</a:t>
          </a:r>
          <a:r>
            <a:rPr lang="ko-KR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합니다</a:t>
          </a:r>
          <a:r>
            <a:rPr lang="en-US" altLang="ko-KR" sz="9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endParaRPr lang="ko-KR" altLang="ko-KR" sz="90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</xdr:col>
      <xdr:colOff>447675</xdr:colOff>
      <xdr:row>29</xdr:row>
      <xdr:rowOff>104775</xdr:rowOff>
    </xdr:from>
    <xdr:to>
      <xdr:col>7</xdr:col>
      <xdr:colOff>517471</xdr:colOff>
      <xdr:row>31</xdr:row>
      <xdr:rowOff>64033</xdr:rowOff>
    </xdr:to>
    <xdr:pic>
      <xdr:nvPicPr>
        <xdr:cNvPr id="23" name="_x196634128" descr="EMB000006b0253a">
          <a:extLst>
            <a:ext uri="{FF2B5EF4-FFF2-40B4-BE49-F238E27FC236}">
              <a16:creationId xmlns:a16="http://schemas.microsoft.com/office/drawing/2014/main" id="{3D38081D-EE36-4FDD-A7AC-623350F3A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6181725"/>
          <a:ext cx="1441396" cy="3783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FDD16-E1B0-494D-A6C5-D6D0617433B4}">
  <dimension ref="A1:N32"/>
  <sheetViews>
    <sheetView view="pageBreakPreview" zoomScale="60" zoomScaleNormal="100" workbookViewId="0">
      <selection activeCell="U6" sqref="U6"/>
    </sheetView>
  </sheetViews>
  <sheetFormatPr defaultRowHeight="16.5" x14ac:dyDescent="0.3"/>
  <sheetData>
    <row r="1" spans="1:14" ht="16.5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spans="1:14" ht="16.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6.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16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6.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16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16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6.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6.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6.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6.5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6.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16.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6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16.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6.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6.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6.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6.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6.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16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6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16.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16.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6.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6.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6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6.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6.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6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6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</sheetData>
  <phoneticPr fontId="1" type="noConversion"/>
  <pageMargins left="0.7" right="0.7" top="0.75" bottom="0.75" header="0.3" footer="0.3"/>
  <pageSetup paperSize="9" scale="6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0972-0A1E-4119-9489-974947B9B5D4}">
  <dimension ref="A1:Z35"/>
  <sheetViews>
    <sheetView view="pageBreakPreview" zoomScaleNormal="100" zoomScaleSheetLayoutView="100" workbookViewId="0">
      <selection activeCell="AB20" sqref="AB20"/>
    </sheetView>
  </sheetViews>
  <sheetFormatPr defaultRowHeight="16.5" x14ac:dyDescent="0.3"/>
  <cols>
    <col min="1" max="26" width="4.625" style="70" customWidth="1"/>
  </cols>
  <sheetData>
    <row r="1" spans="1:26" ht="14.1" customHeight="1" x14ac:dyDescent="0.3">
      <c r="A1" s="86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87"/>
    </row>
    <row r="2" spans="1:26" ht="14.1" customHeight="1" x14ac:dyDescent="0.3">
      <c r="A2" s="88" t="s">
        <v>239</v>
      </c>
      <c r="B2" s="89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1"/>
    </row>
    <row r="3" spans="1:26" ht="14.1" customHeight="1" x14ac:dyDescent="0.3">
      <c r="A3" s="92"/>
      <c r="B3" s="93"/>
      <c r="C3" s="93"/>
      <c r="D3" s="93"/>
      <c r="E3" s="93"/>
      <c r="F3" s="93"/>
      <c r="G3" s="93"/>
      <c r="H3" s="93"/>
      <c r="I3" s="93"/>
      <c r="J3" s="93"/>
      <c r="K3" s="93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1"/>
    </row>
    <row r="4" spans="1:26" ht="14.1" customHeight="1" x14ac:dyDescent="0.3">
      <c r="A4" s="94"/>
      <c r="B4" s="95" t="s">
        <v>240</v>
      </c>
      <c r="C4" s="96"/>
      <c r="D4" s="97"/>
      <c r="E4" s="96"/>
      <c r="F4" s="96"/>
      <c r="G4" s="96"/>
      <c r="H4" s="96"/>
      <c r="I4" s="96"/>
      <c r="J4" s="96"/>
      <c r="K4" s="96"/>
      <c r="L4" s="96"/>
      <c r="M4" s="96"/>
      <c r="N4" s="96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1"/>
    </row>
    <row r="5" spans="1:26" ht="14.1" customHeight="1" x14ac:dyDescent="0.3">
      <c r="A5" s="94"/>
      <c r="B5" s="98" t="s">
        <v>266</v>
      </c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1"/>
    </row>
    <row r="6" spans="1:26" ht="14.1" customHeight="1" x14ac:dyDescent="0.3">
      <c r="A6" s="94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1"/>
    </row>
    <row r="7" spans="1:26" ht="14.1" customHeight="1" x14ac:dyDescent="0.3">
      <c r="A7" s="94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1"/>
    </row>
    <row r="8" spans="1:26" ht="14.1" customHeight="1" x14ac:dyDescent="0.3">
      <c r="A8" s="94"/>
      <c r="B8" s="95" t="s">
        <v>241</v>
      </c>
      <c r="C8" s="96"/>
      <c r="D8" s="96"/>
      <c r="E8" s="96"/>
      <c r="F8" s="96"/>
      <c r="G8" s="96"/>
      <c r="H8" s="96"/>
      <c r="I8" s="96"/>
      <c r="J8" s="96"/>
      <c r="K8" s="96"/>
      <c r="L8" s="100"/>
      <c r="M8" s="96"/>
      <c r="N8" s="96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1"/>
    </row>
    <row r="9" spans="1:26" ht="14.1" customHeight="1" x14ac:dyDescent="0.3">
      <c r="A9" s="94"/>
      <c r="B9" s="101" t="s">
        <v>242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91"/>
    </row>
    <row r="10" spans="1:26" ht="14.1" customHeight="1" x14ac:dyDescent="0.3">
      <c r="A10" s="94"/>
      <c r="B10" s="101"/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91"/>
    </row>
    <row r="11" spans="1:26" ht="14.1" customHeight="1" x14ac:dyDescent="0.3">
      <c r="A11" s="94"/>
      <c r="B11" s="101"/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91"/>
    </row>
    <row r="12" spans="1:26" ht="14.1" customHeight="1" x14ac:dyDescent="0.3">
      <c r="A12" s="94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91"/>
    </row>
    <row r="13" spans="1:26" ht="14.1" customHeight="1" x14ac:dyDescent="0.3">
      <c r="A13" s="94"/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1"/>
    </row>
    <row r="14" spans="1:26" ht="14.1" customHeight="1" x14ac:dyDescent="0.3">
      <c r="A14" s="94"/>
      <c r="B14" s="95" t="s">
        <v>243</v>
      </c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1"/>
    </row>
    <row r="15" spans="1:26" ht="14.1" customHeight="1" x14ac:dyDescent="0.3">
      <c r="A15" s="94"/>
      <c r="B15" s="98" t="s">
        <v>244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1"/>
    </row>
    <row r="16" spans="1:26" ht="14.1" customHeight="1" x14ac:dyDescent="0.3">
      <c r="A16" s="94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1"/>
    </row>
    <row r="17" spans="1:26" ht="14.1" customHeight="1" x14ac:dyDescent="0.3">
      <c r="A17" s="94"/>
      <c r="B17" s="99"/>
      <c r="C17" s="90"/>
      <c r="D17" s="71" t="s">
        <v>245</v>
      </c>
      <c r="E17" s="71"/>
      <c r="F17" s="71"/>
      <c r="G17" s="71"/>
      <c r="H17" s="71"/>
      <c r="I17" s="71"/>
      <c r="J17" s="71" t="s">
        <v>246</v>
      </c>
      <c r="K17" s="71"/>
      <c r="L17" s="71"/>
      <c r="M17" s="71"/>
      <c r="N17" s="71"/>
      <c r="O17" s="71"/>
      <c r="P17" s="71"/>
      <c r="Q17" s="71"/>
      <c r="R17" s="71"/>
      <c r="S17" s="71" t="s">
        <v>247</v>
      </c>
      <c r="T17" s="71"/>
      <c r="U17" s="71"/>
      <c r="V17" s="71"/>
      <c r="W17" s="71"/>
      <c r="X17" s="90"/>
      <c r="Y17" s="90"/>
      <c r="Z17" s="91"/>
    </row>
    <row r="18" spans="1:26" ht="14.1" customHeight="1" x14ac:dyDescent="0.3">
      <c r="A18" s="94"/>
      <c r="B18" s="102"/>
      <c r="C18" s="90"/>
      <c r="D18" s="72" t="s">
        <v>248</v>
      </c>
      <c r="E18" s="72"/>
      <c r="F18" s="72"/>
      <c r="G18" s="72"/>
      <c r="H18" s="72"/>
      <c r="I18" s="72"/>
      <c r="J18" s="73" t="s">
        <v>249</v>
      </c>
      <c r="K18" s="74"/>
      <c r="L18" s="74"/>
      <c r="M18" s="74"/>
      <c r="N18" s="74"/>
      <c r="O18" s="74"/>
      <c r="P18" s="74"/>
      <c r="Q18" s="74"/>
      <c r="R18" s="75"/>
      <c r="S18" s="76" t="s">
        <v>250</v>
      </c>
      <c r="T18" s="76"/>
      <c r="U18" s="76"/>
      <c r="V18" s="76"/>
      <c r="W18" s="76"/>
      <c r="X18" s="90"/>
      <c r="Y18" s="90"/>
      <c r="Z18" s="91"/>
    </row>
    <row r="19" spans="1:26" ht="14.1" customHeight="1" x14ac:dyDescent="0.3">
      <c r="A19" s="103"/>
      <c r="B19" s="96"/>
      <c r="C19" s="90"/>
      <c r="D19" s="72"/>
      <c r="E19" s="72"/>
      <c r="F19" s="72"/>
      <c r="G19" s="72"/>
      <c r="H19" s="72"/>
      <c r="I19" s="72"/>
      <c r="J19" s="77"/>
      <c r="K19" s="104"/>
      <c r="L19" s="104"/>
      <c r="M19" s="104"/>
      <c r="N19" s="104"/>
      <c r="O19" s="104"/>
      <c r="P19" s="104"/>
      <c r="Q19" s="104"/>
      <c r="R19" s="78"/>
      <c r="S19" s="76" t="s">
        <v>235</v>
      </c>
      <c r="T19" s="76"/>
      <c r="U19" s="76"/>
      <c r="V19" s="76"/>
      <c r="W19" s="76"/>
      <c r="X19" s="90"/>
      <c r="Y19" s="90"/>
      <c r="Z19" s="91"/>
    </row>
    <row r="20" spans="1:26" ht="14.1" customHeight="1" x14ac:dyDescent="0.3">
      <c r="A20" s="103"/>
      <c r="B20" s="96"/>
      <c r="C20" s="90"/>
      <c r="D20" s="72"/>
      <c r="E20" s="72"/>
      <c r="F20" s="72"/>
      <c r="G20" s="72"/>
      <c r="H20" s="72"/>
      <c r="I20" s="72"/>
      <c r="J20" s="79"/>
      <c r="K20" s="80"/>
      <c r="L20" s="80"/>
      <c r="M20" s="80"/>
      <c r="N20" s="80"/>
      <c r="O20" s="80"/>
      <c r="P20" s="80"/>
      <c r="Q20" s="80"/>
      <c r="R20" s="81"/>
      <c r="S20" s="76" t="s">
        <v>251</v>
      </c>
      <c r="T20" s="76"/>
      <c r="U20" s="76"/>
      <c r="V20" s="76"/>
      <c r="W20" s="76"/>
      <c r="X20" s="90"/>
      <c r="Y20" s="90"/>
      <c r="Z20" s="91"/>
    </row>
    <row r="21" spans="1:26" ht="14.1" customHeight="1" x14ac:dyDescent="0.3">
      <c r="A21" s="103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1"/>
    </row>
    <row r="22" spans="1:26" ht="14.1" customHeight="1" x14ac:dyDescent="0.3">
      <c r="A22" s="103"/>
      <c r="B22" s="95" t="s">
        <v>252</v>
      </c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1"/>
    </row>
    <row r="23" spans="1:26" ht="14.1" customHeight="1" x14ac:dyDescent="0.3">
      <c r="A23" s="103"/>
      <c r="B23" s="105" t="s">
        <v>253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106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1"/>
    </row>
    <row r="24" spans="1:26" ht="14.1" customHeight="1" x14ac:dyDescent="0.3">
      <c r="A24" s="103"/>
      <c r="B24" s="90"/>
      <c r="C24" s="90"/>
      <c r="D24" s="82" t="s">
        <v>245</v>
      </c>
      <c r="E24" s="82"/>
      <c r="F24" s="82"/>
      <c r="G24" s="82"/>
      <c r="H24" s="82"/>
      <c r="I24" s="82"/>
      <c r="J24" s="82" t="s">
        <v>254</v>
      </c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90"/>
      <c r="Y24" s="90"/>
      <c r="Z24" s="91"/>
    </row>
    <row r="25" spans="1:26" ht="14.1" customHeight="1" x14ac:dyDescent="0.3">
      <c r="A25" s="103"/>
      <c r="B25" s="90"/>
      <c r="C25" s="90"/>
      <c r="D25" s="83" t="s">
        <v>102</v>
      </c>
      <c r="E25" s="83"/>
      <c r="F25" s="83"/>
      <c r="G25" s="83"/>
      <c r="H25" s="83"/>
      <c r="I25" s="83"/>
      <c r="J25" s="76" t="s">
        <v>255</v>
      </c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90"/>
      <c r="Y25" s="90"/>
      <c r="Z25" s="91"/>
    </row>
    <row r="26" spans="1:26" ht="14.1" customHeight="1" x14ac:dyDescent="0.3">
      <c r="A26" s="103"/>
      <c r="B26" s="90"/>
      <c r="C26" s="90"/>
      <c r="D26" s="83" t="s">
        <v>237</v>
      </c>
      <c r="E26" s="83"/>
      <c r="F26" s="83"/>
      <c r="G26" s="83"/>
      <c r="H26" s="83"/>
      <c r="I26" s="83"/>
      <c r="J26" s="76" t="s">
        <v>256</v>
      </c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90"/>
      <c r="Y26" s="90"/>
      <c r="Z26" s="91"/>
    </row>
    <row r="27" spans="1:26" ht="14.1" customHeight="1" x14ac:dyDescent="0.3">
      <c r="A27" s="103"/>
      <c r="B27" s="90"/>
      <c r="C27" s="90"/>
      <c r="D27" s="83" t="s">
        <v>238</v>
      </c>
      <c r="E27" s="83"/>
      <c r="F27" s="83"/>
      <c r="G27" s="83"/>
      <c r="H27" s="83"/>
      <c r="I27" s="83"/>
      <c r="J27" s="76" t="s">
        <v>257</v>
      </c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90"/>
      <c r="Y27" s="90"/>
      <c r="Z27" s="91"/>
    </row>
    <row r="28" spans="1:26" ht="14.1" customHeight="1" x14ac:dyDescent="0.3">
      <c r="A28" s="103"/>
      <c r="B28" s="90"/>
      <c r="C28" s="90"/>
      <c r="D28" s="83" t="s">
        <v>236</v>
      </c>
      <c r="E28" s="83"/>
      <c r="F28" s="83"/>
      <c r="G28" s="83"/>
      <c r="H28" s="83"/>
      <c r="I28" s="83"/>
      <c r="J28" s="76" t="s">
        <v>258</v>
      </c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90"/>
      <c r="Y28" s="90"/>
      <c r="Z28" s="91"/>
    </row>
    <row r="29" spans="1:26" ht="14.1" customHeight="1" x14ac:dyDescent="0.3">
      <c r="A29" s="103"/>
      <c r="B29" s="96"/>
      <c r="C29" s="96"/>
      <c r="D29" s="96"/>
      <c r="E29" s="90"/>
      <c r="F29" s="96"/>
      <c r="G29" s="96"/>
      <c r="H29" s="96"/>
      <c r="I29" s="96"/>
      <c r="J29" s="96"/>
      <c r="K29" s="96"/>
      <c r="L29" s="96"/>
      <c r="M29" s="96"/>
      <c r="N29" s="106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1"/>
    </row>
    <row r="30" spans="1:26" ht="14.1" customHeight="1" x14ac:dyDescent="0.3">
      <c r="A30" s="103"/>
      <c r="B30" s="105" t="s">
        <v>259</v>
      </c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6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1"/>
    </row>
    <row r="31" spans="1:26" ht="14.1" customHeight="1" x14ac:dyDescent="0.3">
      <c r="A31" s="103"/>
      <c r="B31" s="90"/>
      <c r="C31" s="90"/>
      <c r="D31" s="82" t="s">
        <v>245</v>
      </c>
      <c r="E31" s="82"/>
      <c r="F31" s="82"/>
      <c r="G31" s="82"/>
      <c r="H31" s="82"/>
      <c r="I31" s="82"/>
      <c r="J31" s="82" t="s">
        <v>254</v>
      </c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90"/>
      <c r="Y31" s="90"/>
      <c r="Z31" s="91"/>
    </row>
    <row r="32" spans="1:26" ht="14.1" customHeight="1" x14ac:dyDescent="0.3">
      <c r="A32" s="103"/>
      <c r="B32" s="90"/>
      <c r="C32" s="90"/>
      <c r="D32" s="83" t="s">
        <v>260</v>
      </c>
      <c r="E32" s="83"/>
      <c r="F32" s="83"/>
      <c r="G32" s="83"/>
      <c r="H32" s="83"/>
      <c r="I32" s="83"/>
      <c r="J32" s="76" t="s">
        <v>261</v>
      </c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90"/>
      <c r="Y32" s="90"/>
      <c r="Z32" s="91"/>
    </row>
    <row r="33" spans="1:26" ht="14.1" customHeight="1" x14ac:dyDescent="0.3">
      <c r="A33" s="103"/>
      <c r="B33" s="90"/>
      <c r="C33" s="90"/>
      <c r="D33" s="83" t="s">
        <v>262</v>
      </c>
      <c r="E33" s="83"/>
      <c r="F33" s="83"/>
      <c r="G33" s="83"/>
      <c r="H33" s="83"/>
      <c r="I33" s="83"/>
      <c r="J33" s="76" t="s">
        <v>263</v>
      </c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90"/>
      <c r="Y33" s="90"/>
      <c r="Z33" s="91"/>
    </row>
    <row r="34" spans="1:26" ht="14.1" customHeight="1" x14ac:dyDescent="0.3">
      <c r="A34" s="103"/>
      <c r="B34" s="90"/>
      <c r="C34" s="90"/>
      <c r="D34" s="83" t="s">
        <v>264</v>
      </c>
      <c r="E34" s="83"/>
      <c r="F34" s="83"/>
      <c r="G34" s="83"/>
      <c r="H34" s="83"/>
      <c r="I34" s="83"/>
      <c r="J34" s="76" t="s">
        <v>265</v>
      </c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90"/>
      <c r="Y34" s="90"/>
      <c r="Z34" s="91"/>
    </row>
    <row r="35" spans="1:26" ht="14.1" customHeight="1" x14ac:dyDescent="0.3">
      <c r="A35" s="108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109"/>
    </row>
  </sheetData>
  <mergeCells count="30">
    <mergeCell ref="D33:I33"/>
    <mergeCell ref="J33:W33"/>
    <mergeCell ref="D34:I34"/>
    <mergeCell ref="J34:W34"/>
    <mergeCell ref="D28:I28"/>
    <mergeCell ref="J28:W28"/>
    <mergeCell ref="D31:I31"/>
    <mergeCell ref="J31:W31"/>
    <mergeCell ref="D32:I32"/>
    <mergeCell ref="J32:W32"/>
    <mergeCell ref="D25:I25"/>
    <mergeCell ref="J25:W25"/>
    <mergeCell ref="D26:I26"/>
    <mergeCell ref="J26:W26"/>
    <mergeCell ref="D27:I27"/>
    <mergeCell ref="J27:W27"/>
    <mergeCell ref="D18:I20"/>
    <mergeCell ref="J18:R20"/>
    <mergeCell ref="S18:W18"/>
    <mergeCell ref="S19:W19"/>
    <mergeCell ref="S20:W20"/>
    <mergeCell ref="D24:I24"/>
    <mergeCell ref="J24:W24"/>
    <mergeCell ref="A2:B2"/>
    <mergeCell ref="B5:Y6"/>
    <mergeCell ref="B9:Y12"/>
    <mergeCell ref="B15:Y16"/>
    <mergeCell ref="D17:I17"/>
    <mergeCell ref="J17:R17"/>
    <mergeCell ref="S17:W17"/>
  </mergeCells>
  <phoneticPr fontId="1" type="noConversion"/>
  <pageMargins left="0.7" right="0.7" top="0.75" bottom="0.75" header="0.3" footer="0.3"/>
  <pageSetup paperSize="9" scale="6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5CAB-5E48-4CEF-B302-E4483452B9ED}">
  <dimension ref="A1:I180"/>
  <sheetViews>
    <sheetView workbookViewId="0">
      <selection activeCell="F26" sqref="F26"/>
    </sheetView>
  </sheetViews>
  <sheetFormatPr defaultRowHeight="16.5" x14ac:dyDescent="0.3"/>
  <cols>
    <col min="1" max="1" width="4.625" customWidth="1"/>
    <col min="2" max="2" width="5.625" style="114" customWidth="1"/>
    <col min="3" max="3" width="23" bestFit="1" customWidth="1"/>
    <col min="4" max="8" width="17.625" customWidth="1"/>
    <col min="9" max="9" width="4.625" customWidth="1"/>
  </cols>
  <sheetData>
    <row r="1" spans="1:9" ht="14.1" customHeight="1" x14ac:dyDescent="0.3">
      <c r="A1" s="110"/>
      <c r="B1" s="112"/>
      <c r="C1" s="110"/>
      <c r="D1" s="110"/>
      <c r="E1" s="110"/>
      <c r="F1" s="110"/>
      <c r="G1" s="110"/>
      <c r="H1" s="110"/>
      <c r="I1" s="110"/>
    </row>
    <row r="2" spans="1:9" ht="14.1" customHeight="1" x14ac:dyDescent="0.3">
      <c r="A2" s="3" t="s">
        <v>0</v>
      </c>
      <c r="B2" s="113"/>
      <c r="C2" s="1"/>
      <c r="D2" s="1"/>
      <c r="E2" s="1"/>
      <c r="F2" s="1"/>
      <c r="G2" s="1"/>
      <c r="H2" s="1"/>
      <c r="I2" s="1"/>
    </row>
    <row r="3" spans="1:9" ht="14.1" customHeight="1" x14ac:dyDescent="0.3">
      <c r="A3" s="1"/>
      <c r="B3" s="113"/>
      <c r="C3" s="1"/>
      <c r="D3" s="111"/>
      <c r="E3" s="1"/>
      <c r="F3" s="1"/>
      <c r="G3" s="1"/>
      <c r="H3" s="1"/>
      <c r="I3" s="1"/>
    </row>
    <row r="4" spans="1:9" ht="14.1" customHeight="1" x14ac:dyDescent="0.3">
      <c r="A4" s="1"/>
      <c r="B4" s="67" t="s">
        <v>267</v>
      </c>
      <c r="C4" s="67" t="s">
        <v>1</v>
      </c>
      <c r="D4" s="67" t="s">
        <v>268</v>
      </c>
      <c r="E4" s="67" t="s">
        <v>2</v>
      </c>
      <c r="F4" s="67" t="s">
        <v>4</v>
      </c>
      <c r="G4" s="67" t="s">
        <v>269</v>
      </c>
      <c r="H4" s="67" t="s">
        <v>5</v>
      </c>
      <c r="I4" s="1"/>
    </row>
    <row r="5" spans="1:9" ht="14.1" customHeight="1" x14ac:dyDescent="0.3">
      <c r="A5" s="1"/>
      <c r="I5" s="1"/>
    </row>
    <row r="6" spans="1:9" ht="14.1" customHeight="1" x14ac:dyDescent="0.3">
      <c r="A6" s="1"/>
      <c r="I6" s="1"/>
    </row>
    <row r="7" spans="1:9" ht="14.1" customHeight="1" x14ac:dyDescent="0.3">
      <c r="A7" s="1"/>
      <c r="I7" s="1"/>
    </row>
    <row r="8" spans="1:9" ht="14.1" customHeight="1" x14ac:dyDescent="0.3">
      <c r="A8" s="1"/>
      <c r="B8" s="115"/>
      <c r="I8" s="1"/>
    </row>
    <row r="9" spans="1:9" ht="14.1" customHeight="1" x14ac:dyDescent="0.3">
      <c r="A9" s="1"/>
      <c r="I9" s="1"/>
    </row>
    <row r="10" spans="1:9" ht="14.1" customHeight="1" x14ac:dyDescent="0.3">
      <c r="A10" s="1"/>
      <c r="I10" s="1"/>
    </row>
    <row r="11" spans="1:9" ht="14.1" customHeight="1" x14ac:dyDescent="0.3">
      <c r="A11" s="1"/>
      <c r="I11" s="1"/>
    </row>
    <row r="12" spans="1:9" ht="14.1" customHeight="1" x14ac:dyDescent="0.3">
      <c r="A12" s="1"/>
      <c r="I12" s="1"/>
    </row>
    <row r="13" spans="1:9" ht="14.1" customHeight="1" x14ac:dyDescent="0.3">
      <c r="A13" s="1"/>
      <c r="I13" s="1"/>
    </row>
    <row r="14" spans="1:9" ht="14.1" customHeight="1" x14ac:dyDescent="0.3">
      <c r="A14" s="1"/>
      <c r="I14" s="1"/>
    </row>
    <row r="15" spans="1:9" ht="14.1" customHeight="1" x14ac:dyDescent="0.3">
      <c r="A15" s="1"/>
      <c r="I15" s="1"/>
    </row>
    <row r="16" spans="1:9" ht="14.1" customHeight="1" x14ac:dyDescent="0.3">
      <c r="A16" s="1"/>
      <c r="I16" s="1"/>
    </row>
    <row r="17" spans="1:9" ht="14.1" customHeight="1" x14ac:dyDescent="0.3">
      <c r="A17" s="1"/>
      <c r="I17" s="1"/>
    </row>
    <row r="18" spans="1:9" ht="14.1" customHeight="1" x14ac:dyDescent="0.3">
      <c r="A18" s="1"/>
      <c r="I18" s="1"/>
    </row>
    <row r="19" spans="1:9" ht="14.1" customHeight="1" x14ac:dyDescent="0.3">
      <c r="A19" s="1"/>
      <c r="I19" s="1"/>
    </row>
    <row r="20" spans="1:9" ht="14.1" customHeight="1" x14ac:dyDescent="0.3">
      <c r="A20" s="1"/>
      <c r="I20" s="1"/>
    </row>
    <row r="21" spans="1:9" ht="14.1" customHeight="1" x14ac:dyDescent="0.3">
      <c r="A21" s="1"/>
      <c r="I21" s="1"/>
    </row>
    <row r="22" spans="1:9" ht="14.1" customHeight="1" x14ac:dyDescent="0.3">
      <c r="A22" s="1"/>
      <c r="I22" s="1"/>
    </row>
    <row r="23" spans="1:9" ht="14.1" customHeight="1" x14ac:dyDescent="0.3">
      <c r="A23" s="1"/>
      <c r="I23" s="1"/>
    </row>
    <row r="24" spans="1:9" ht="14.1" customHeight="1" x14ac:dyDescent="0.3">
      <c r="A24" s="1"/>
      <c r="I24" s="1"/>
    </row>
    <row r="25" spans="1:9" ht="14.1" customHeight="1" x14ac:dyDescent="0.3">
      <c r="A25" s="1"/>
      <c r="I25" s="1"/>
    </row>
    <row r="26" spans="1:9" ht="14.1" customHeight="1" x14ac:dyDescent="0.3">
      <c r="A26" s="1"/>
      <c r="I26" s="1"/>
    </row>
    <row r="27" spans="1:9" ht="14.1" customHeight="1" x14ac:dyDescent="0.3">
      <c r="A27" s="1"/>
      <c r="I27" s="1"/>
    </row>
    <row r="28" spans="1:9" ht="14.1" customHeight="1" x14ac:dyDescent="0.3"/>
    <row r="29" spans="1:9" ht="14.1" customHeight="1" x14ac:dyDescent="0.3"/>
    <row r="30" spans="1:9" ht="14.1" customHeight="1" x14ac:dyDescent="0.3"/>
    <row r="31" spans="1:9" ht="14.1" customHeight="1" x14ac:dyDescent="0.3"/>
    <row r="32" spans="1:9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  <row r="58" ht="14.1" customHeight="1" x14ac:dyDescent="0.3"/>
    <row r="59" ht="14.1" customHeight="1" x14ac:dyDescent="0.3"/>
    <row r="60" ht="14.1" customHeight="1" x14ac:dyDescent="0.3"/>
    <row r="61" ht="14.1" customHeight="1" x14ac:dyDescent="0.3"/>
    <row r="62" ht="14.1" customHeight="1" x14ac:dyDescent="0.3"/>
    <row r="63" ht="14.1" customHeight="1" x14ac:dyDescent="0.3"/>
    <row r="64" ht="14.1" customHeight="1" x14ac:dyDescent="0.3"/>
    <row r="65" ht="14.1" customHeight="1" x14ac:dyDescent="0.3"/>
    <row r="66" ht="14.1" customHeight="1" x14ac:dyDescent="0.3"/>
    <row r="67" ht="14.1" customHeight="1" x14ac:dyDescent="0.3"/>
    <row r="68" ht="14.1" customHeight="1" x14ac:dyDescent="0.3"/>
    <row r="69" ht="14.1" customHeight="1" x14ac:dyDescent="0.3"/>
    <row r="70" ht="14.1" customHeight="1" x14ac:dyDescent="0.3"/>
    <row r="71" ht="14.1" customHeight="1" x14ac:dyDescent="0.3"/>
    <row r="72" ht="14.1" customHeight="1" x14ac:dyDescent="0.3"/>
    <row r="73" ht="14.1" customHeight="1" x14ac:dyDescent="0.3"/>
    <row r="74" ht="14.1" customHeight="1" x14ac:dyDescent="0.3"/>
    <row r="75" ht="14.1" customHeight="1" x14ac:dyDescent="0.3"/>
    <row r="76" ht="14.1" customHeight="1" x14ac:dyDescent="0.3"/>
    <row r="77" ht="14.1" customHeight="1" x14ac:dyDescent="0.3"/>
    <row r="78" ht="14.1" customHeight="1" x14ac:dyDescent="0.3"/>
    <row r="79" ht="14.1" customHeight="1" x14ac:dyDescent="0.3"/>
    <row r="80" ht="14.1" customHeight="1" x14ac:dyDescent="0.3"/>
    <row r="81" ht="14.1" customHeight="1" x14ac:dyDescent="0.3"/>
    <row r="82" ht="14.1" customHeight="1" x14ac:dyDescent="0.3"/>
    <row r="83" ht="14.1" customHeight="1" x14ac:dyDescent="0.3"/>
    <row r="84" ht="14.1" customHeight="1" x14ac:dyDescent="0.3"/>
    <row r="85" ht="14.1" customHeight="1" x14ac:dyDescent="0.3"/>
    <row r="86" ht="14.1" customHeight="1" x14ac:dyDescent="0.3"/>
    <row r="87" ht="14.1" customHeight="1" x14ac:dyDescent="0.3"/>
    <row r="88" ht="14.1" customHeight="1" x14ac:dyDescent="0.3"/>
    <row r="89" ht="14.1" customHeight="1" x14ac:dyDescent="0.3"/>
    <row r="90" ht="14.1" customHeight="1" x14ac:dyDescent="0.3"/>
    <row r="91" ht="14.1" customHeight="1" x14ac:dyDescent="0.3"/>
    <row r="92" ht="14.1" customHeight="1" x14ac:dyDescent="0.3"/>
    <row r="93" ht="14.1" customHeight="1" x14ac:dyDescent="0.3"/>
    <row r="94" ht="14.1" customHeight="1" x14ac:dyDescent="0.3"/>
    <row r="95" ht="14.1" customHeight="1" x14ac:dyDescent="0.3"/>
    <row r="96" ht="14.1" customHeight="1" x14ac:dyDescent="0.3"/>
    <row r="97" ht="14.1" customHeight="1" x14ac:dyDescent="0.3"/>
    <row r="98" ht="14.1" customHeight="1" x14ac:dyDescent="0.3"/>
    <row r="99" ht="14.1" customHeight="1" x14ac:dyDescent="0.3"/>
    <row r="100" ht="14.1" customHeight="1" x14ac:dyDescent="0.3"/>
    <row r="101" ht="14.1" customHeight="1" x14ac:dyDescent="0.3"/>
    <row r="102" ht="14.1" customHeight="1" x14ac:dyDescent="0.3"/>
    <row r="103" ht="14.1" customHeight="1" x14ac:dyDescent="0.3"/>
    <row r="104" ht="14.1" customHeight="1" x14ac:dyDescent="0.3"/>
    <row r="105" ht="14.1" customHeight="1" x14ac:dyDescent="0.3"/>
    <row r="106" ht="14.1" customHeight="1" x14ac:dyDescent="0.3"/>
    <row r="107" ht="14.1" customHeight="1" x14ac:dyDescent="0.3"/>
    <row r="108" ht="14.1" customHeight="1" x14ac:dyDescent="0.3"/>
    <row r="109" ht="14.1" customHeight="1" x14ac:dyDescent="0.3"/>
    <row r="110" ht="14.1" customHeight="1" x14ac:dyDescent="0.3"/>
    <row r="111" ht="14.1" customHeight="1" x14ac:dyDescent="0.3"/>
    <row r="112" ht="14.1" customHeight="1" x14ac:dyDescent="0.3"/>
    <row r="113" ht="14.1" customHeight="1" x14ac:dyDescent="0.3"/>
    <row r="114" ht="14.1" customHeight="1" x14ac:dyDescent="0.3"/>
    <row r="115" ht="14.1" customHeight="1" x14ac:dyDescent="0.3"/>
    <row r="116" ht="14.1" customHeight="1" x14ac:dyDescent="0.3"/>
    <row r="117" ht="14.1" customHeight="1" x14ac:dyDescent="0.3"/>
    <row r="118" ht="14.1" customHeight="1" x14ac:dyDescent="0.3"/>
    <row r="119" ht="14.1" customHeight="1" x14ac:dyDescent="0.3"/>
    <row r="120" ht="14.1" customHeight="1" x14ac:dyDescent="0.3"/>
    <row r="121" ht="14.1" customHeight="1" x14ac:dyDescent="0.3"/>
    <row r="122" ht="14.1" customHeight="1" x14ac:dyDescent="0.3"/>
    <row r="123" ht="14.1" customHeight="1" x14ac:dyDescent="0.3"/>
    <row r="124" ht="14.1" customHeight="1" x14ac:dyDescent="0.3"/>
    <row r="125" ht="14.1" customHeight="1" x14ac:dyDescent="0.3"/>
    <row r="126" ht="14.1" customHeight="1" x14ac:dyDescent="0.3"/>
    <row r="127" ht="14.1" customHeight="1" x14ac:dyDescent="0.3"/>
    <row r="128" ht="14.1" customHeight="1" x14ac:dyDescent="0.3"/>
    <row r="129" ht="14.1" customHeight="1" x14ac:dyDescent="0.3"/>
    <row r="130" ht="14.1" customHeight="1" x14ac:dyDescent="0.3"/>
    <row r="131" ht="14.1" customHeight="1" x14ac:dyDescent="0.3"/>
    <row r="132" ht="14.1" customHeight="1" x14ac:dyDescent="0.3"/>
    <row r="133" ht="14.1" customHeight="1" x14ac:dyDescent="0.3"/>
    <row r="134" ht="14.1" customHeight="1" x14ac:dyDescent="0.3"/>
    <row r="135" ht="14.1" customHeight="1" x14ac:dyDescent="0.3"/>
    <row r="136" ht="14.1" customHeight="1" x14ac:dyDescent="0.3"/>
    <row r="137" ht="14.1" customHeight="1" x14ac:dyDescent="0.3"/>
    <row r="138" ht="14.1" customHeight="1" x14ac:dyDescent="0.3"/>
    <row r="139" ht="14.1" customHeight="1" x14ac:dyDescent="0.3"/>
    <row r="140" ht="14.1" customHeight="1" x14ac:dyDescent="0.3"/>
    <row r="141" ht="14.1" customHeight="1" x14ac:dyDescent="0.3"/>
    <row r="142" ht="14.1" customHeight="1" x14ac:dyDescent="0.3"/>
    <row r="143" ht="14.1" customHeight="1" x14ac:dyDescent="0.3"/>
    <row r="144" ht="14.1" customHeight="1" x14ac:dyDescent="0.3"/>
    <row r="145" ht="14.1" customHeight="1" x14ac:dyDescent="0.3"/>
    <row r="146" ht="14.1" customHeight="1" x14ac:dyDescent="0.3"/>
    <row r="147" ht="14.1" customHeight="1" x14ac:dyDescent="0.3"/>
    <row r="148" ht="14.1" customHeight="1" x14ac:dyDescent="0.3"/>
    <row r="149" ht="14.1" customHeight="1" x14ac:dyDescent="0.3"/>
    <row r="150" ht="14.1" customHeight="1" x14ac:dyDescent="0.3"/>
    <row r="151" ht="14.1" customHeight="1" x14ac:dyDescent="0.3"/>
    <row r="152" ht="14.1" customHeight="1" x14ac:dyDescent="0.3"/>
    <row r="153" ht="14.1" customHeight="1" x14ac:dyDescent="0.3"/>
    <row r="154" ht="14.1" customHeight="1" x14ac:dyDescent="0.3"/>
    <row r="155" ht="14.1" customHeight="1" x14ac:dyDescent="0.3"/>
    <row r="156" ht="14.1" customHeight="1" x14ac:dyDescent="0.3"/>
    <row r="157" ht="14.1" customHeight="1" x14ac:dyDescent="0.3"/>
    <row r="158" ht="14.1" customHeight="1" x14ac:dyDescent="0.3"/>
    <row r="159" ht="14.1" customHeight="1" x14ac:dyDescent="0.3"/>
    <row r="160" ht="14.1" customHeight="1" x14ac:dyDescent="0.3"/>
    <row r="161" ht="14.1" customHeight="1" x14ac:dyDescent="0.3"/>
    <row r="162" ht="14.1" customHeight="1" x14ac:dyDescent="0.3"/>
    <row r="163" ht="14.1" customHeight="1" x14ac:dyDescent="0.3"/>
    <row r="164" ht="14.1" customHeight="1" x14ac:dyDescent="0.3"/>
    <row r="165" ht="14.1" customHeight="1" x14ac:dyDescent="0.3"/>
    <row r="166" ht="14.1" customHeight="1" x14ac:dyDescent="0.3"/>
    <row r="167" ht="14.1" customHeight="1" x14ac:dyDescent="0.3"/>
    <row r="168" ht="14.1" customHeight="1" x14ac:dyDescent="0.3"/>
    <row r="169" ht="14.1" customHeight="1" x14ac:dyDescent="0.3"/>
    <row r="170" ht="14.1" customHeight="1" x14ac:dyDescent="0.3"/>
    <row r="171" ht="14.1" customHeight="1" x14ac:dyDescent="0.3"/>
    <row r="172" ht="14.1" customHeight="1" x14ac:dyDescent="0.3"/>
    <row r="173" ht="14.1" customHeight="1" x14ac:dyDescent="0.3"/>
    <row r="174" ht="14.1" customHeight="1" x14ac:dyDescent="0.3"/>
    <row r="175" ht="14.1" customHeight="1" x14ac:dyDescent="0.3"/>
    <row r="176" ht="14.1" customHeight="1" x14ac:dyDescent="0.3"/>
    <row r="177" ht="14.1" customHeight="1" x14ac:dyDescent="0.3"/>
    <row r="178" ht="14.1" customHeight="1" x14ac:dyDescent="0.3"/>
    <row r="179" ht="14.1" customHeight="1" x14ac:dyDescent="0.3"/>
    <row r="180" ht="14.1" customHeight="1" x14ac:dyDescent="0.3"/>
  </sheetData>
  <phoneticPr fontId="1" type="noConversion"/>
  <conditionalFormatting sqref="B5:H48">
    <cfRule type="expression" dxfId="0" priority="1">
      <formula>$B5&lt;&gt;""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2154-9E0D-4F72-A30B-9A60C32A36AA}">
  <dimension ref="A1:X105"/>
  <sheetViews>
    <sheetView tabSelected="1" topLeftCell="A7" zoomScale="85" zoomScaleNormal="85" workbookViewId="0">
      <selection activeCell="K15" sqref="K15"/>
    </sheetView>
  </sheetViews>
  <sheetFormatPr defaultRowHeight="16.5" x14ac:dyDescent="0.3"/>
  <cols>
    <col min="1" max="1" width="3.625" style="8" customWidth="1"/>
    <col min="2" max="2" width="15.75" style="8" customWidth="1"/>
    <col min="3" max="3" width="7" style="8" bestFit="1" customWidth="1"/>
    <col min="4" max="4" width="46.75" style="8" bestFit="1" customWidth="1"/>
    <col min="5" max="5" width="14.375" style="8" bestFit="1" customWidth="1"/>
    <col min="6" max="6" width="7.125" style="8" customWidth="1"/>
    <col min="7" max="7" width="7.5" style="8" hidden="1" customWidth="1"/>
    <col min="8" max="8" width="63" style="8" customWidth="1"/>
    <col min="9" max="9" width="9.125" style="8" customWidth="1"/>
    <col min="10" max="10" width="6.625" style="52" hidden="1" customWidth="1"/>
    <col min="11" max="11" width="67.25" style="8" customWidth="1"/>
    <col min="12" max="14" width="25.625" style="8" customWidth="1"/>
  </cols>
  <sheetData>
    <row r="1" spans="1:24" s="8" customFormat="1" ht="16.5" customHeight="1" x14ac:dyDescent="0.3">
      <c r="A1" s="4" t="s">
        <v>6</v>
      </c>
      <c r="B1" s="5"/>
      <c r="C1" s="5"/>
      <c r="D1" s="5"/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8" customFormat="1" ht="16.5" customHeight="1" x14ac:dyDescent="0.3">
      <c r="A2" s="5"/>
      <c r="B2" s="5"/>
      <c r="C2" s="5"/>
      <c r="D2" s="5"/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s="8" customFormat="1" ht="16.5" customHeight="1" x14ac:dyDescent="0.3">
      <c r="A3" s="5"/>
      <c r="B3" s="9"/>
      <c r="C3" s="6"/>
      <c r="D3" s="6"/>
      <c r="E3" s="6"/>
      <c r="F3" s="7"/>
      <c r="G3" s="5"/>
      <c r="H3" s="5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s="8" customFormat="1" ht="16.5" customHeight="1" x14ac:dyDescent="0.3">
      <c r="A4" s="5"/>
      <c r="B4" s="10" t="s">
        <v>7</v>
      </c>
      <c r="C4" s="18"/>
      <c r="D4" s="19"/>
      <c r="E4" s="10" t="s">
        <v>3</v>
      </c>
      <c r="F4" s="20"/>
      <c r="G4" s="20"/>
      <c r="H4" s="20"/>
      <c r="I4" s="22"/>
      <c r="J4" s="22"/>
      <c r="K4" s="22"/>
      <c r="L4" s="22"/>
      <c r="M4" s="22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s="8" customFormat="1" ht="16.5" customHeight="1" x14ac:dyDescent="0.3">
      <c r="A5" s="5"/>
      <c r="B5" s="10" t="s">
        <v>8</v>
      </c>
      <c r="C5" s="18"/>
      <c r="D5" s="19"/>
      <c r="E5" s="11" t="s">
        <v>9</v>
      </c>
      <c r="F5" s="21"/>
      <c r="G5" s="21"/>
      <c r="H5" s="21"/>
      <c r="I5" s="22"/>
      <c r="J5" s="22"/>
      <c r="K5" s="22"/>
      <c r="L5" s="22"/>
      <c r="M5" s="22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s="8" customFormat="1" ht="16.5" customHeight="1" x14ac:dyDescent="0.3">
      <c r="A6" s="5"/>
      <c r="B6" s="10" t="s">
        <v>10</v>
      </c>
      <c r="C6" s="18"/>
      <c r="D6" s="19"/>
      <c r="E6" s="10" t="s">
        <v>5</v>
      </c>
      <c r="F6" s="21"/>
      <c r="G6" s="21"/>
      <c r="H6" s="21"/>
      <c r="I6" s="22"/>
      <c r="J6" s="22"/>
      <c r="K6" s="22"/>
      <c r="L6" s="22"/>
      <c r="M6" s="22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3">
      <c r="A7" s="5"/>
      <c r="B7" s="7"/>
      <c r="C7" s="7"/>
      <c r="D7" s="7"/>
      <c r="E7" s="7"/>
      <c r="F7" s="7"/>
      <c r="G7" s="5"/>
      <c r="H7" s="22"/>
      <c r="I7" s="22"/>
      <c r="J7" s="22"/>
      <c r="K7" s="22"/>
      <c r="L7" s="22"/>
      <c r="M7" s="22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3">
      <c r="A8" s="5"/>
      <c r="B8" s="5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3">
      <c r="A9" s="5"/>
      <c r="B9" s="23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3">
      <c r="A10" s="5"/>
      <c r="B10" s="17" t="s">
        <v>11</v>
      </c>
      <c r="C10" s="17" t="s">
        <v>12</v>
      </c>
      <c r="D10" s="17" t="s">
        <v>13</v>
      </c>
      <c r="E10" s="17"/>
      <c r="F10" s="17" t="s">
        <v>14</v>
      </c>
      <c r="G10" s="17" t="s">
        <v>94</v>
      </c>
      <c r="H10" s="24" t="s">
        <v>95</v>
      </c>
      <c r="I10" s="68" t="s">
        <v>24</v>
      </c>
      <c r="J10" s="53"/>
      <c r="K10" s="24" t="s">
        <v>24</v>
      </c>
      <c r="L10" s="24"/>
      <c r="M10" s="24"/>
      <c r="N10" s="24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33" x14ac:dyDescent="0.3">
      <c r="A11" s="5"/>
      <c r="B11" s="17"/>
      <c r="C11" s="17"/>
      <c r="D11" s="17"/>
      <c r="E11" s="17"/>
      <c r="F11" s="17"/>
      <c r="G11" s="17"/>
      <c r="H11" s="24"/>
      <c r="I11" s="12" t="s">
        <v>25</v>
      </c>
      <c r="J11" s="12" t="s">
        <v>96</v>
      </c>
      <c r="K11" s="12" t="s">
        <v>26</v>
      </c>
      <c r="L11" s="12" t="s">
        <v>97</v>
      </c>
      <c r="M11" s="12" t="s">
        <v>98</v>
      </c>
      <c r="N11" s="12" t="s">
        <v>99</v>
      </c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24" x14ac:dyDescent="0.3">
      <c r="A12" s="5"/>
      <c r="B12" s="58" t="s">
        <v>15</v>
      </c>
      <c r="C12" s="25" t="s">
        <v>27</v>
      </c>
      <c r="D12" s="54" t="s">
        <v>100</v>
      </c>
      <c r="E12" s="54"/>
      <c r="F12" s="26" t="s">
        <v>16</v>
      </c>
      <c r="G12" s="27">
        <f>IF(F12="상",3,IF(F12="중",2,1))</f>
        <v>3</v>
      </c>
      <c r="H12" s="28" t="s">
        <v>101</v>
      </c>
      <c r="I12" s="29"/>
      <c r="J12" s="30">
        <f>IF(I12="N/A","N/A",(IF(I12="양호",1,IF(I12="위험수용",0.5,0))*$G12))</f>
        <v>0</v>
      </c>
      <c r="K12" s="31"/>
      <c r="L12" s="31"/>
      <c r="M12" s="31"/>
      <c r="N12" s="31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24" x14ac:dyDescent="0.3">
      <c r="A13" s="5"/>
      <c r="B13" s="59"/>
      <c r="C13" s="32" t="s">
        <v>28</v>
      </c>
      <c r="D13" s="55" t="s">
        <v>103</v>
      </c>
      <c r="E13" s="55"/>
      <c r="F13" s="33" t="s">
        <v>16</v>
      </c>
      <c r="G13" s="34">
        <f t="shared" ref="G13:G76" si="0">IF(F13="상",3,IF(F13="중",2,1))</f>
        <v>3</v>
      </c>
      <c r="H13" s="35" t="s">
        <v>104</v>
      </c>
      <c r="I13" s="36"/>
      <c r="J13" s="30">
        <f t="shared" ref="J13:J76" si="1">IF(I13="N/A","N/A",(IF(I13="양호",1,IF(I13="위험수용",0.5,0))*$G13))</f>
        <v>0</v>
      </c>
      <c r="K13" s="37"/>
      <c r="L13" s="37"/>
      <c r="M13" s="37"/>
      <c r="N13" s="37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4" x14ac:dyDescent="0.3">
      <c r="A14" s="5"/>
      <c r="B14" s="59"/>
      <c r="C14" s="32" t="s">
        <v>29</v>
      </c>
      <c r="D14" s="55" t="s">
        <v>105</v>
      </c>
      <c r="E14" s="55"/>
      <c r="F14" s="33" t="s">
        <v>16</v>
      </c>
      <c r="G14" s="34">
        <f t="shared" si="0"/>
        <v>3</v>
      </c>
      <c r="H14" s="35" t="s">
        <v>182</v>
      </c>
      <c r="I14" s="36"/>
      <c r="J14" s="30">
        <f t="shared" si="1"/>
        <v>0</v>
      </c>
      <c r="K14" s="37"/>
      <c r="L14" s="37"/>
      <c r="M14" s="37"/>
      <c r="N14" s="37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24" x14ac:dyDescent="0.3">
      <c r="A15" s="5"/>
      <c r="B15" s="59"/>
      <c r="C15" s="32" t="s">
        <v>30</v>
      </c>
      <c r="D15" s="55" t="s">
        <v>106</v>
      </c>
      <c r="E15" s="55"/>
      <c r="F15" s="33" t="s">
        <v>16</v>
      </c>
      <c r="G15" s="34">
        <f t="shared" si="0"/>
        <v>3</v>
      </c>
      <c r="H15" s="35" t="s">
        <v>183</v>
      </c>
      <c r="I15" s="36"/>
      <c r="J15" s="30">
        <f t="shared" si="1"/>
        <v>0</v>
      </c>
      <c r="K15" s="37"/>
      <c r="L15" s="37"/>
      <c r="M15" s="37"/>
      <c r="N15" s="37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24" x14ac:dyDescent="0.3">
      <c r="A16" s="5"/>
      <c r="B16" s="59"/>
      <c r="C16" s="32" t="s">
        <v>31</v>
      </c>
      <c r="D16" s="55" t="s">
        <v>107</v>
      </c>
      <c r="E16" s="55"/>
      <c r="F16" s="33" t="s">
        <v>17</v>
      </c>
      <c r="G16" s="34">
        <f t="shared" si="0"/>
        <v>2</v>
      </c>
      <c r="H16" s="35" t="s">
        <v>184</v>
      </c>
      <c r="I16" s="36"/>
      <c r="J16" s="30">
        <f t="shared" si="1"/>
        <v>0</v>
      </c>
      <c r="K16" s="37"/>
      <c r="L16" s="37"/>
      <c r="M16" s="37"/>
      <c r="N16" s="37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36" x14ac:dyDescent="0.3">
      <c r="A17" s="5"/>
      <c r="B17" s="59"/>
      <c r="C17" s="32" t="s">
        <v>32</v>
      </c>
      <c r="D17" s="55" t="s">
        <v>108</v>
      </c>
      <c r="E17" s="55"/>
      <c r="F17" s="33" t="s">
        <v>16</v>
      </c>
      <c r="G17" s="34">
        <f t="shared" si="0"/>
        <v>3</v>
      </c>
      <c r="H17" s="35" t="s">
        <v>185</v>
      </c>
      <c r="I17" s="36"/>
      <c r="J17" s="30">
        <f t="shared" si="1"/>
        <v>0</v>
      </c>
      <c r="K17" s="37"/>
      <c r="L17" s="37"/>
      <c r="M17" s="37"/>
      <c r="N17" s="37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24" x14ac:dyDescent="0.3">
      <c r="A18" s="5"/>
      <c r="B18" s="59"/>
      <c r="C18" s="32" t="s">
        <v>33</v>
      </c>
      <c r="D18" s="55" t="s">
        <v>109</v>
      </c>
      <c r="E18" s="55"/>
      <c r="F18" s="33" t="s">
        <v>18</v>
      </c>
      <c r="G18" s="34">
        <f t="shared" si="0"/>
        <v>1</v>
      </c>
      <c r="H18" s="35" t="s">
        <v>186</v>
      </c>
      <c r="I18" s="36"/>
      <c r="J18" s="30">
        <f t="shared" si="1"/>
        <v>0</v>
      </c>
      <c r="K18" s="37"/>
      <c r="L18" s="37"/>
      <c r="M18" s="37"/>
      <c r="N18" s="37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4" x14ac:dyDescent="0.3">
      <c r="A19" s="5"/>
      <c r="B19" s="59"/>
      <c r="C19" s="32" t="s">
        <v>34</v>
      </c>
      <c r="D19" s="55" t="s">
        <v>110</v>
      </c>
      <c r="E19" s="55"/>
      <c r="F19" s="33" t="s">
        <v>17</v>
      </c>
      <c r="G19" s="34">
        <f t="shared" si="0"/>
        <v>2</v>
      </c>
      <c r="H19" s="35" t="s">
        <v>187</v>
      </c>
      <c r="I19" s="36"/>
      <c r="J19" s="30">
        <f t="shared" si="1"/>
        <v>0</v>
      </c>
      <c r="K19" s="37"/>
      <c r="L19" s="37"/>
      <c r="M19" s="37"/>
      <c r="N19" s="37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24" x14ac:dyDescent="0.3">
      <c r="A20" s="5"/>
      <c r="B20" s="59"/>
      <c r="C20" s="32" t="s">
        <v>35</v>
      </c>
      <c r="D20" s="55" t="s">
        <v>111</v>
      </c>
      <c r="E20" s="55"/>
      <c r="F20" s="33" t="s">
        <v>18</v>
      </c>
      <c r="G20" s="34">
        <f t="shared" si="0"/>
        <v>1</v>
      </c>
      <c r="H20" s="35" t="s">
        <v>188</v>
      </c>
      <c r="I20" s="36"/>
      <c r="J20" s="30">
        <f t="shared" si="1"/>
        <v>0</v>
      </c>
      <c r="K20" s="37"/>
      <c r="L20" s="37"/>
      <c r="M20" s="37"/>
      <c r="N20" s="37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24" x14ac:dyDescent="0.3">
      <c r="A21" s="5"/>
      <c r="B21" s="59"/>
      <c r="C21" s="32" t="s">
        <v>36</v>
      </c>
      <c r="D21" s="55" t="s">
        <v>112</v>
      </c>
      <c r="E21" s="55"/>
      <c r="F21" s="33" t="s">
        <v>17</v>
      </c>
      <c r="G21" s="34">
        <f t="shared" si="0"/>
        <v>2</v>
      </c>
      <c r="H21" s="35" t="s">
        <v>113</v>
      </c>
      <c r="I21" s="36"/>
      <c r="J21" s="30">
        <f t="shared" si="1"/>
        <v>0</v>
      </c>
      <c r="K21" s="37"/>
      <c r="L21" s="37"/>
      <c r="M21" s="37"/>
      <c r="N21" s="37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24" x14ac:dyDescent="0.3">
      <c r="A22" s="5"/>
      <c r="B22" s="59"/>
      <c r="C22" s="32" t="s">
        <v>37</v>
      </c>
      <c r="D22" s="55" t="s">
        <v>114</v>
      </c>
      <c r="E22" s="55"/>
      <c r="F22" s="33" t="s">
        <v>18</v>
      </c>
      <c r="G22" s="34">
        <f t="shared" si="0"/>
        <v>1</v>
      </c>
      <c r="H22" s="35" t="s">
        <v>115</v>
      </c>
      <c r="I22" s="36"/>
      <c r="J22" s="30">
        <f t="shared" si="1"/>
        <v>0</v>
      </c>
      <c r="K22" s="37"/>
      <c r="L22" s="37"/>
      <c r="M22" s="37"/>
      <c r="N22" s="37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24" x14ac:dyDescent="0.3">
      <c r="A23" s="5"/>
      <c r="B23" s="59"/>
      <c r="C23" s="32" t="s">
        <v>38</v>
      </c>
      <c r="D23" s="55" t="s">
        <v>116</v>
      </c>
      <c r="E23" s="55"/>
      <c r="F23" s="33" t="s">
        <v>18</v>
      </c>
      <c r="G23" s="34">
        <f t="shared" si="0"/>
        <v>1</v>
      </c>
      <c r="H23" s="35" t="s">
        <v>189</v>
      </c>
      <c r="I23" s="36"/>
      <c r="J23" s="30">
        <f t="shared" si="1"/>
        <v>0</v>
      </c>
      <c r="K23" s="37"/>
      <c r="L23" s="37"/>
      <c r="M23" s="37"/>
      <c r="N23" s="37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4" x14ac:dyDescent="0.3">
      <c r="A24" s="5"/>
      <c r="B24" s="60"/>
      <c r="C24" s="38" t="s">
        <v>39</v>
      </c>
      <c r="D24" s="61" t="s">
        <v>117</v>
      </c>
      <c r="E24" s="61"/>
      <c r="F24" s="39" t="s">
        <v>17</v>
      </c>
      <c r="G24" s="40">
        <f t="shared" si="0"/>
        <v>2</v>
      </c>
      <c r="H24" s="41" t="s">
        <v>190</v>
      </c>
      <c r="I24" s="42"/>
      <c r="J24" s="30">
        <f t="shared" si="1"/>
        <v>0</v>
      </c>
      <c r="K24" s="43"/>
      <c r="L24" s="43"/>
      <c r="M24" s="43"/>
      <c r="N24" s="43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24" x14ac:dyDescent="0.3">
      <c r="A25" s="5"/>
      <c r="B25" s="58" t="s">
        <v>19</v>
      </c>
      <c r="C25" s="25" t="s">
        <v>40</v>
      </c>
      <c r="D25" s="54" t="s">
        <v>118</v>
      </c>
      <c r="E25" s="54"/>
      <c r="F25" s="26" t="s">
        <v>16</v>
      </c>
      <c r="G25" s="27">
        <f t="shared" si="0"/>
        <v>3</v>
      </c>
      <c r="H25" s="28" t="s">
        <v>191</v>
      </c>
      <c r="I25" s="29"/>
      <c r="J25" s="30">
        <f t="shared" si="1"/>
        <v>0</v>
      </c>
      <c r="K25" s="31"/>
      <c r="L25" s="31"/>
      <c r="M25" s="31"/>
      <c r="N25" s="31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24" x14ac:dyDescent="0.3">
      <c r="A26" s="5"/>
      <c r="B26" s="59"/>
      <c r="C26" s="32" t="s">
        <v>41</v>
      </c>
      <c r="D26" s="55" t="s">
        <v>119</v>
      </c>
      <c r="E26" s="55"/>
      <c r="F26" s="33" t="s">
        <v>16</v>
      </c>
      <c r="G26" s="34">
        <f t="shared" si="0"/>
        <v>3</v>
      </c>
      <c r="H26" s="35" t="s">
        <v>181</v>
      </c>
      <c r="I26" s="36"/>
      <c r="J26" s="30">
        <f t="shared" si="1"/>
        <v>0</v>
      </c>
      <c r="K26" s="37"/>
      <c r="L26" s="37"/>
      <c r="M26" s="37"/>
      <c r="N26" s="37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4" x14ac:dyDescent="0.3">
      <c r="A27" s="5"/>
      <c r="B27" s="59"/>
      <c r="C27" s="32" t="s">
        <v>42</v>
      </c>
      <c r="D27" s="55" t="s">
        <v>120</v>
      </c>
      <c r="E27" s="55"/>
      <c r="F27" s="33" t="s">
        <v>16</v>
      </c>
      <c r="G27" s="34">
        <f t="shared" si="0"/>
        <v>3</v>
      </c>
      <c r="H27" s="35" t="s">
        <v>192</v>
      </c>
      <c r="I27" s="36"/>
      <c r="J27" s="30">
        <f t="shared" si="1"/>
        <v>0</v>
      </c>
      <c r="K27" s="44"/>
      <c r="L27" s="37"/>
      <c r="M27" s="37"/>
      <c r="N27" s="37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48" x14ac:dyDescent="0.3">
      <c r="A28" s="5"/>
      <c r="B28" s="59"/>
      <c r="C28" s="32" t="s">
        <v>43</v>
      </c>
      <c r="D28" s="55" t="s">
        <v>121</v>
      </c>
      <c r="E28" s="55"/>
      <c r="F28" s="33" t="s">
        <v>16</v>
      </c>
      <c r="G28" s="34">
        <f t="shared" si="0"/>
        <v>3</v>
      </c>
      <c r="H28" s="35" t="s">
        <v>193</v>
      </c>
      <c r="I28" s="36"/>
      <c r="J28" s="30">
        <f t="shared" si="1"/>
        <v>0</v>
      </c>
      <c r="K28" s="45"/>
      <c r="L28" s="37"/>
      <c r="M28" s="37"/>
      <c r="N28" s="37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24" x14ac:dyDescent="0.3">
      <c r="A29" s="5"/>
      <c r="B29" s="59"/>
      <c r="C29" s="32" t="s">
        <v>44</v>
      </c>
      <c r="D29" s="55" t="s">
        <v>122</v>
      </c>
      <c r="E29" s="55"/>
      <c r="F29" s="33" t="s">
        <v>16</v>
      </c>
      <c r="G29" s="34">
        <f t="shared" si="0"/>
        <v>3</v>
      </c>
      <c r="H29" s="35" t="s">
        <v>194</v>
      </c>
      <c r="I29" s="36"/>
      <c r="J29" s="30">
        <f t="shared" si="1"/>
        <v>0</v>
      </c>
      <c r="K29" s="37"/>
      <c r="L29" s="37"/>
      <c r="M29" s="37"/>
      <c r="N29" s="37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24" x14ac:dyDescent="0.3">
      <c r="A30" s="5"/>
      <c r="B30" s="59"/>
      <c r="C30" s="32" t="s">
        <v>45</v>
      </c>
      <c r="D30" s="55" t="s">
        <v>123</v>
      </c>
      <c r="E30" s="55"/>
      <c r="F30" s="33" t="s">
        <v>16</v>
      </c>
      <c r="G30" s="34">
        <f t="shared" si="0"/>
        <v>3</v>
      </c>
      <c r="H30" s="35" t="s">
        <v>195</v>
      </c>
      <c r="I30" s="36"/>
      <c r="J30" s="30">
        <f t="shared" si="1"/>
        <v>0</v>
      </c>
      <c r="K30" s="45"/>
      <c r="L30" s="37"/>
      <c r="M30" s="37"/>
      <c r="N30" s="37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24" x14ac:dyDescent="0.3">
      <c r="A31" s="5"/>
      <c r="B31" s="59"/>
      <c r="C31" s="32" t="s">
        <v>46</v>
      </c>
      <c r="D31" s="55" t="s">
        <v>124</v>
      </c>
      <c r="E31" s="55"/>
      <c r="F31" s="33" t="s">
        <v>16</v>
      </c>
      <c r="G31" s="34">
        <f t="shared" si="0"/>
        <v>3</v>
      </c>
      <c r="H31" s="35" t="s">
        <v>196</v>
      </c>
      <c r="I31" s="36"/>
      <c r="J31" s="30">
        <f t="shared" si="1"/>
        <v>0</v>
      </c>
      <c r="K31" s="37"/>
      <c r="L31" s="37"/>
      <c r="M31" s="37"/>
      <c r="N31" s="37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36" x14ac:dyDescent="0.3">
      <c r="A32" s="5"/>
      <c r="B32" s="59"/>
      <c r="C32" s="32" t="s">
        <v>47</v>
      </c>
      <c r="D32" s="55" t="s">
        <v>125</v>
      </c>
      <c r="E32" s="55"/>
      <c r="F32" s="33" t="s">
        <v>16</v>
      </c>
      <c r="G32" s="34">
        <f t="shared" si="0"/>
        <v>3</v>
      </c>
      <c r="H32" s="35" t="s">
        <v>197</v>
      </c>
      <c r="I32" s="36"/>
      <c r="J32" s="30">
        <f t="shared" si="1"/>
        <v>0</v>
      </c>
      <c r="K32" s="45"/>
      <c r="L32" s="37"/>
      <c r="M32" s="37"/>
      <c r="N32" s="37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36" x14ac:dyDescent="0.3">
      <c r="A33" s="5"/>
      <c r="B33" s="59"/>
      <c r="C33" s="32" t="s">
        <v>48</v>
      </c>
      <c r="D33" s="55" t="s">
        <v>126</v>
      </c>
      <c r="E33" s="55"/>
      <c r="F33" s="33" t="s">
        <v>16</v>
      </c>
      <c r="G33" s="34">
        <f t="shared" si="0"/>
        <v>3</v>
      </c>
      <c r="H33" s="35" t="s">
        <v>198</v>
      </c>
      <c r="I33" s="36"/>
      <c r="J33" s="30">
        <f t="shared" si="1"/>
        <v>0</v>
      </c>
      <c r="K33" s="37"/>
      <c r="L33" s="37"/>
      <c r="M33" s="37"/>
      <c r="N33" s="37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24" x14ac:dyDescent="0.3">
      <c r="A34" s="5"/>
      <c r="B34" s="59"/>
      <c r="C34" s="32" t="s">
        <v>49</v>
      </c>
      <c r="D34" s="56" t="s">
        <v>127</v>
      </c>
      <c r="E34" s="56"/>
      <c r="F34" s="33" t="s">
        <v>16</v>
      </c>
      <c r="G34" s="34">
        <f t="shared" si="0"/>
        <v>3</v>
      </c>
      <c r="H34" s="35" t="s">
        <v>199</v>
      </c>
      <c r="I34" s="36"/>
      <c r="J34" s="30">
        <f t="shared" si="1"/>
        <v>0</v>
      </c>
      <c r="K34" s="45"/>
      <c r="L34" s="37"/>
      <c r="M34" s="37"/>
      <c r="N34" s="37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48" x14ac:dyDescent="0.3">
      <c r="A35" s="5"/>
      <c r="B35" s="59"/>
      <c r="C35" s="32" t="s">
        <v>50</v>
      </c>
      <c r="D35" s="56" t="s">
        <v>128</v>
      </c>
      <c r="E35" s="56"/>
      <c r="F35" s="33" t="s">
        <v>16</v>
      </c>
      <c r="G35" s="34">
        <f t="shared" si="0"/>
        <v>3</v>
      </c>
      <c r="H35" s="35" t="s">
        <v>200</v>
      </c>
      <c r="I35" s="36"/>
      <c r="J35" s="30">
        <f t="shared" si="1"/>
        <v>0</v>
      </c>
      <c r="K35" s="37"/>
      <c r="L35" s="37"/>
      <c r="M35" s="37"/>
      <c r="N35" s="37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24" x14ac:dyDescent="0.3">
      <c r="A36" s="5"/>
      <c r="B36" s="59"/>
      <c r="C36" s="32" t="s">
        <v>51</v>
      </c>
      <c r="D36" s="56" t="s">
        <v>129</v>
      </c>
      <c r="E36" s="56"/>
      <c r="F36" s="33" t="s">
        <v>16</v>
      </c>
      <c r="G36" s="34">
        <f t="shared" si="0"/>
        <v>3</v>
      </c>
      <c r="H36" s="35" t="s">
        <v>201</v>
      </c>
      <c r="I36" s="36"/>
      <c r="J36" s="30">
        <f t="shared" si="1"/>
        <v>0</v>
      </c>
      <c r="K36" s="37"/>
      <c r="L36" s="37"/>
      <c r="M36" s="37"/>
      <c r="N36" s="37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24" x14ac:dyDescent="0.3">
      <c r="A37" s="5"/>
      <c r="B37" s="59"/>
      <c r="C37" s="32" t="s">
        <v>52</v>
      </c>
      <c r="D37" s="56" t="s">
        <v>130</v>
      </c>
      <c r="E37" s="56"/>
      <c r="F37" s="33" t="s">
        <v>16</v>
      </c>
      <c r="G37" s="34">
        <f t="shared" si="0"/>
        <v>3</v>
      </c>
      <c r="H37" s="35" t="s">
        <v>202</v>
      </c>
      <c r="I37" s="36"/>
      <c r="J37" s="30">
        <f t="shared" si="1"/>
        <v>0</v>
      </c>
      <c r="K37" s="37"/>
      <c r="L37" s="37"/>
      <c r="M37" s="37"/>
      <c r="N37" s="37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96" x14ac:dyDescent="0.3">
      <c r="A38" s="5"/>
      <c r="B38" s="59"/>
      <c r="C38" s="32" t="s">
        <v>53</v>
      </c>
      <c r="D38" s="56" t="s">
        <v>131</v>
      </c>
      <c r="E38" s="56"/>
      <c r="F38" s="33" t="s">
        <v>16</v>
      </c>
      <c r="G38" s="34">
        <f t="shared" si="0"/>
        <v>3</v>
      </c>
      <c r="H38" s="35" t="s">
        <v>203</v>
      </c>
      <c r="I38" s="36"/>
      <c r="J38" s="30">
        <f t="shared" si="1"/>
        <v>0</v>
      </c>
      <c r="K38" s="37"/>
      <c r="L38" s="37"/>
      <c r="M38" s="37"/>
      <c r="N38" s="37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24" x14ac:dyDescent="0.3">
      <c r="A39" s="5"/>
      <c r="B39" s="59"/>
      <c r="C39" s="32" t="s">
        <v>54</v>
      </c>
      <c r="D39" s="56" t="s">
        <v>132</v>
      </c>
      <c r="E39" s="56"/>
      <c r="F39" s="33" t="s">
        <v>16</v>
      </c>
      <c r="G39" s="34">
        <f t="shared" si="0"/>
        <v>3</v>
      </c>
      <c r="H39" s="35" t="s">
        <v>204</v>
      </c>
      <c r="I39" s="36"/>
      <c r="J39" s="30">
        <f t="shared" si="1"/>
        <v>0</v>
      </c>
      <c r="K39" s="37"/>
      <c r="L39" s="37"/>
      <c r="M39" s="37"/>
      <c r="N39" s="37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48" x14ac:dyDescent="0.3">
      <c r="A40" s="5"/>
      <c r="B40" s="59"/>
      <c r="C40" s="32" t="s">
        <v>55</v>
      </c>
      <c r="D40" s="56" t="s">
        <v>133</v>
      </c>
      <c r="E40" s="56"/>
      <c r="F40" s="33" t="s">
        <v>18</v>
      </c>
      <c r="G40" s="34">
        <f t="shared" si="0"/>
        <v>1</v>
      </c>
      <c r="H40" s="35" t="s">
        <v>205</v>
      </c>
      <c r="I40" s="36"/>
      <c r="J40" s="30">
        <f t="shared" si="1"/>
        <v>0</v>
      </c>
      <c r="K40" s="37"/>
      <c r="L40" s="37"/>
      <c r="M40" s="37"/>
      <c r="N40" s="37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4" x14ac:dyDescent="0.3">
      <c r="A41" s="5"/>
      <c r="B41" s="59"/>
      <c r="C41" s="32" t="s">
        <v>56</v>
      </c>
      <c r="D41" s="56" t="s">
        <v>134</v>
      </c>
      <c r="E41" s="56"/>
      <c r="F41" s="33" t="s">
        <v>17</v>
      </c>
      <c r="G41" s="34">
        <f t="shared" si="0"/>
        <v>2</v>
      </c>
      <c r="H41" s="35" t="s">
        <v>206</v>
      </c>
      <c r="I41" s="36"/>
      <c r="J41" s="30">
        <f t="shared" si="1"/>
        <v>0</v>
      </c>
      <c r="K41" s="37"/>
      <c r="L41" s="37"/>
      <c r="M41" s="37"/>
      <c r="N41" s="37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24" x14ac:dyDescent="0.3">
      <c r="A42" s="5"/>
      <c r="B42" s="59"/>
      <c r="C42" s="32" t="s">
        <v>57</v>
      </c>
      <c r="D42" s="56" t="s">
        <v>135</v>
      </c>
      <c r="E42" s="56"/>
      <c r="F42" s="33" t="s">
        <v>17</v>
      </c>
      <c r="G42" s="34">
        <f t="shared" si="0"/>
        <v>2</v>
      </c>
      <c r="H42" s="35" t="s">
        <v>207</v>
      </c>
      <c r="I42" s="36"/>
      <c r="J42" s="30">
        <f t="shared" si="1"/>
        <v>0</v>
      </c>
      <c r="K42" s="37"/>
      <c r="L42" s="37"/>
      <c r="M42" s="37"/>
      <c r="N42" s="37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24" x14ac:dyDescent="0.3">
      <c r="A43" s="5"/>
      <c r="B43" s="59"/>
      <c r="C43" s="32" t="s">
        <v>58</v>
      </c>
      <c r="D43" s="56" t="s">
        <v>136</v>
      </c>
      <c r="E43" s="56"/>
      <c r="F43" s="33" t="s">
        <v>17</v>
      </c>
      <c r="G43" s="34">
        <f t="shared" si="0"/>
        <v>2</v>
      </c>
      <c r="H43" s="35" t="s">
        <v>208</v>
      </c>
      <c r="I43" s="36"/>
      <c r="J43" s="30">
        <f t="shared" si="1"/>
        <v>0</v>
      </c>
      <c r="K43" s="37"/>
      <c r="L43" s="37"/>
      <c r="M43" s="37"/>
      <c r="N43" s="37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24" x14ac:dyDescent="0.3">
      <c r="A44" s="5"/>
      <c r="B44" s="60"/>
      <c r="C44" s="38" t="s">
        <v>59</v>
      </c>
      <c r="D44" s="61" t="s">
        <v>137</v>
      </c>
      <c r="E44" s="61"/>
      <c r="F44" s="39" t="s">
        <v>18</v>
      </c>
      <c r="G44" s="40">
        <f t="shared" si="0"/>
        <v>1</v>
      </c>
      <c r="H44" s="41" t="s">
        <v>209</v>
      </c>
      <c r="I44" s="42"/>
      <c r="J44" s="30">
        <f t="shared" si="1"/>
        <v>0</v>
      </c>
      <c r="K44" s="43"/>
      <c r="L44" s="43"/>
      <c r="M44" s="43"/>
      <c r="N44" s="43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24" x14ac:dyDescent="0.3">
      <c r="A45" s="5"/>
      <c r="B45" s="58" t="s">
        <v>20</v>
      </c>
      <c r="C45" s="25" t="s">
        <v>60</v>
      </c>
      <c r="D45" s="62" t="s">
        <v>138</v>
      </c>
      <c r="E45" s="62"/>
      <c r="F45" s="26" t="s">
        <v>16</v>
      </c>
      <c r="G45" s="27">
        <f t="shared" si="0"/>
        <v>3</v>
      </c>
      <c r="H45" s="28" t="s">
        <v>210</v>
      </c>
      <c r="I45" s="29"/>
      <c r="J45" s="30">
        <f t="shared" si="1"/>
        <v>0</v>
      </c>
      <c r="K45" s="31"/>
      <c r="L45" s="31"/>
      <c r="M45" s="31"/>
      <c r="N45" s="31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24" x14ac:dyDescent="0.3">
      <c r="A46" s="5"/>
      <c r="B46" s="59"/>
      <c r="C46" s="32" t="s">
        <v>61</v>
      </c>
      <c r="D46" s="56" t="s">
        <v>139</v>
      </c>
      <c r="E46" s="56"/>
      <c r="F46" s="33" t="s">
        <v>16</v>
      </c>
      <c r="G46" s="34">
        <f t="shared" si="0"/>
        <v>3</v>
      </c>
      <c r="H46" s="35" t="s">
        <v>211</v>
      </c>
      <c r="I46" s="36"/>
      <c r="J46" s="30">
        <f t="shared" si="1"/>
        <v>0</v>
      </c>
      <c r="K46" s="37"/>
      <c r="L46" s="37"/>
      <c r="M46" s="37"/>
      <c r="N46" s="37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24" x14ac:dyDescent="0.3">
      <c r="A47" s="5"/>
      <c r="B47" s="59"/>
      <c r="C47" s="32" t="s">
        <v>62</v>
      </c>
      <c r="D47" s="56" t="s">
        <v>140</v>
      </c>
      <c r="E47" s="56"/>
      <c r="F47" s="33" t="s">
        <v>16</v>
      </c>
      <c r="G47" s="34">
        <f t="shared" si="0"/>
        <v>3</v>
      </c>
      <c r="H47" s="35" t="s">
        <v>212</v>
      </c>
      <c r="I47" s="36"/>
      <c r="J47" s="30">
        <f t="shared" si="1"/>
        <v>0</v>
      </c>
      <c r="K47" s="37"/>
      <c r="L47" s="37"/>
      <c r="M47" s="37"/>
      <c r="N47" s="37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48" x14ac:dyDescent="0.3">
      <c r="A48" s="5"/>
      <c r="B48" s="59"/>
      <c r="C48" s="32" t="s">
        <v>63</v>
      </c>
      <c r="D48" s="56" t="s">
        <v>141</v>
      </c>
      <c r="E48" s="56"/>
      <c r="F48" s="33" t="s">
        <v>16</v>
      </c>
      <c r="G48" s="34">
        <f t="shared" si="0"/>
        <v>3</v>
      </c>
      <c r="H48" s="35" t="s">
        <v>213</v>
      </c>
      <c r="I48" s="36"/>
      <c r="J48" s="30">
        <f t="shared" si="1"/>
        <v>0</v>
      </c>
      <c r="K48" s="37"/>
      <c r="L48" s="37"/>
      <c r="M48" s="37"/>
      <c r="N48" s="37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24" x14ac:dyDescent="0.3">
      <c r="A49" s="5"/>
      <c r="B49" s="59"/>
      <c r="C49" s="32" t="s">
        <v>64</v>
      </c>
      <c r="D49" s="56" t="s">
        <v>142</v>
      </c>
      <c r="E49" s="56"/>
      <c r="F49" s="33" t="s">
        <v>16</v>
      </c>
      <c r="G49" s="34">
        <f t="shared" si="0"/>
        <v>3</v>
      </c>
      <c r="H49" s="35" t="s">
        <v>214</v>
      </c>
      <c r="I49" s="36"/>
      <c r="J49" s="30">
        <f t="shared" si="1"/>
        <v>0</v>
      </c>
      <c r="K49" s="37"/>
      <c r="L49" s="37"/>
      <c r="M49" s="37"/>
      <c r="N49" s="37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24" x14ac:dyDescent="0.3">
      <c r="A50" s="5"/>
      <c r="B50" s="59"/>
      <c r="C50" s="32" t="s">
        <v>65</v>
      </c>
      <c r="D50" s="56" t="s">
        <v>143</v>
      </c>
      <c r="E50" s="56"/>
      <c r="F50" s="33" t="s">
        <v>16</v>
      </c>
      <c r="G50" s="34">
        <f t="shared" si="0"/>
        <v>3</v>
      </c>
      <c r="H50" s="35" t="s">
        <v>144</v>
      </c>
      <c r="I50" s="36"/>
      <c r="J50" s="30">
        <f t="shared" si="1"/>
        <v>0</v>
      </c>
      <c r="K50" s="37"/>
      <c r="L50" s="37"/>
      <c r="M50" s="37"/>
      <c r="N50" s="37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24" x14ac:dyDescent="0.3">
      <c r="A51" s="5"/>
      <c r="B51" s="59"/>
      <c r="C51" s="32" t="s">
        <v>66</v>
      </c>
      <c r="D51" s="56" t="s">
        <v>145</v>
      </c>
      <c r="E51" s="56"/>
      <c r="F51" s="33" t="s">
        <v>16</v>
      </c>
      <c r="G51" s="34">
        <v>3</v>
      </c>
      <c r="H51" s="35" t="s">
        <v>215</v>
      </c>
      <c r="I51" s="36"/>
      <c r="J51" s="30">
        <f t="shared" si="1"/>
        <v>0</v>
      </c>
      <c r="K51" s="37"/>
      <c r="L51" s="37"/>
      <c r="M51" s="37"/>
      <c r="N51" s="37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24" x14ac:dyDescent="0.3">
      <c r="A52" s="5"/>
      <c r="B52" s="59"/>
      <c r="C52" s="32" t="s">
        <v>67</v>
      </c>
      <c r="D52" s="56" t="s">
        <v>146</v>
      </c>
      <c r="E52" s="56"/>
      <c r="F52" s="33" t="s">
        <v>16</v>
      </c>
      <c r="G52" s="34">
        <f t="shared" si="0"/>
        <v>3</v>
      </c>
      <c r="H52" s="35" t="s">
        <v>216</v>
      </c>
      <c r="I52" s="36"/>
      <c r="J52" s="30">
        <f t="shared" si="1"/>
        <v>0</v>
      </c>
      <c r="K52" s="37"/>
      <c r="L52" s="37"/>
      <c r="M52" s="37"/>
      <c r="N52" s="37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24" x14ac:dyDescent="0.3">
      <c r="A53" s="5"/>
      <c r="B53" s="59"/>
      <c r="C53" s="32" t="s">
        <v>68</v>
      </c>
      <c r="D53" s="56" t="s">
        <v>147</v>
      </c>
      <c r="E53" s="56"/>
      <c r="F53" s="33" t="s">
        <v>16</v>
      </c>
      <c r="G53" s="34">
        <f t="shared" si="0"/>
        <v>3</v>
      </c>
      <c r="H53" s="35" t="s">
        <v>217</v>
      </c>
      <c r="I53" s="36"/>
      <c r="J53" s="30">
        <f t="shared" si="1"/>
        <v>0</v>
      </c>
      <c r="K53" s="37"/>
      <c r="L53" s="37"/>
      <c r="M53" s="37"/>
      <c r="N53" s="37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24" x14ac:dyDescent="0.3">
      <c r="A54" s="5"/>
      <c r="B54" s="59"/>
      <c r="C54" s="32" t="s">
        <v>69</v>
      </c>
      <c r="D54" s="56" t="s">
        <v>148</v>
      </c>
      <c r="E54" s="56"/>
      <c r="F54" s="33" t="s">
        <v>16</v>
      </c>
      <c r="G54" s="34">
        <f t="shared" si="0"/>
        <v>3</v>
      </c>
      <c r="H54" s="35" t="s">
        <v>218</v>
      </c>
      <c r="I54" s="36"/>
      <c r="J54" s="30">
        <f t="shared" si="1"/>
        <v>0</v>
      </c>
      <c r="K54" s="37"/>
      <c r="L54" s="37"/>
      <c r="M54" s="37"/>
      <c r="N54" s="37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24" x14ac:dyDescent="0.3">
      <c r="A55" s="5"/>
      <c r="B55" s="59"/>
      <c r="C55" s="32" t="s">
        <v>70</v>
      </c>
      <c r="D55" s="56" t="s">
        <v>149</v>
      </c>
      <c r="E55" s="56"/>
      <c r="F55" s="33" t="s">
        <v>16</v>
      </c>
      <c r="G55" s="34">
        <f t="shared" si="0"/>
        <v>3</v>
      </c>
      <c r="H55" s="35" t="s">
        <v>219</v>
      </c>
      <c r="I55" s="36"/>
      <c r="J55" s="30">
        <f t="shared" si="1"/>
        <v>0</v>
      </c>
      <c r="K55" s="37"/>
      <c r="L55" s="37"/>
      <c r="M55" s="37"/>
      <c r="N55" s="37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4" x14ac:dyDescent="0.3">
      <c r="A56" s="5"/>
      <c r="B56" s="59"/>
      <c r="C56" s="32" t="s">
        <v>71</v>
      </c>
      <c r="D56" s="56" t="s">
        <v>150</v>
      </c>
      <c r="E56" s="56"/>
      <c r="F56" s="33" t="s">
        <v>16</v>
      </c>
      <c r="G56" s="34">
        <f t="shared" si="0"/>
        <v>3</v>
      </c>
      <c r="H56" s="35" t="s">
        <v>151</v>
      </c>
      <c r="I56" s="36"/>
      <c r="J56" s="30">
        <f t="shared" si="1"/>
        <v>0</v>
      </c>
      <c r="K56" s="37"/>
      <c r="L56" s="37"/>
      <c r="M56" s="37"/>
      <c r="N56" s="37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24" x14ac:dyDescent="0.3">
      <c r="A57" s="5"/>
      <c r="B57" s="59"/>
      <c r="C57" s="32" t="s">
        <v>72</v>
      </c>
      <c r="D57" s="56" t="s">
        <v>152</v>
      </c>
      <c r="E57" s="56"/>
      <c r="F57" s="33" t="s">
        <v>16</v>
      </c>
      <c r="G57" s="34">
        <f t="shared" si="0"/>
        <v>3</v>
      </c>
      <c r="H57" s="35" t="s">
        <v>220</v>
      </c>
      <c r="I57" s="36"/>
      <c r="J57" s="30">
        <f t="shared" si="1"/>
        <v>0</v>
      </c>
      <c r="K57" s="37"/>
      <c r="L57" s="37"/>
      <c r="M57" s="37"/>
      <c r="N57" s="37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4" x14ac:dyDescent="0.3">
      <c r="A58" s="5"/>
      <c r="B58" s="59"/>
      <c r="C58" s="32" t="s">
        <v>73</v>
      </c>
      <c r="D58" s="56" t="s">
        <v>153</v>
      </c>
      <c r="E58" s="56"/>
      <c r="F58" s="33" t="s">
        <v>16</v>
      </c>
      <c r="G58" s="34">
        <f t="shared" si="0"/>
        <v>3</v>
      </c>
      <c r="H58" s="35" t="s">
        <v>221</v>
      </c>
      <c r="I58" s="36"/>
      <c r="J58" s="30">
        <f t="shared" si="1"/>
        <v>0</v>
      </c>
      <c r="K58" s="37"/>
      <c r="L58" s="37"/>
      <c r="M58" s="37"/>
      <c r="N58" s="37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4" x14ac:dyDescent="0.3">
      <c r="A59" s="5"/>
      <c r="B59" s="59"/>
      <c r="C59" s="32" t="s">
        <v>74</v>
      </c>
      <c r="D59" s="56" t="s">
        <v>154</v>
      </c>
      <c r="E59" s="56"/>
      <c r="F59" s="33" t="s">
        <v>17</v>
      </c>
      <c r="G59" s="34">
        <f t="shared" si="0"/>
        <v>2</v>
      </c>
      <c r="H59" s="35" t="s">
        <v>155</v>
      </c>
      <c r="I59" s="36"/>
      <c r="J59" s="30">
        <f t="shared" si="1"/>
        <v>0</v>
      </c>
      <c r="K59" s="37"/>
      <c r="L59" s="37"/>
      <c r="M59" s="37"/>
      <c r="N59" s="37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24" x14ac:dyDescent="0.3">
      <c r="A60" s="5"/>
      <c r="B60" s="59"/>
      <c r="C60" s="32" t="s">
        <v>75</v>
      </c>
      <c r="D60" s="56" t="s">
        <v>156</v>
      </c>
      <c r="E60" s="56"/>
      <c r="F60" s="33" t="s">
        <v>16</v>
      </c>
      <c r="G60" s="34">
        <f t="shared" si="0"/>
        <v>3</v>
      </c>
      <c r="H60" s="35" t="s">
        <v>157</v>
      </c>
      <c r="I60" s="36"/>
      <c r="J60" s="30">
        <f t="shared" si="1"/>
        <v>0</v>
      </c>
      <c r="K60" s="37"/>
      <c r="L60" s="37"/>
      <c r="M60" s="37"/>
      <c r="N60" s="37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24" x14ac:dyDescent="0.3">
      <c r="A61" s="5"/>
      <c r="B61" s="59"/>
      <c r="C61" s="32" t="s">
        <v>76</v>
      </c>
      <c r="D61" s="56" t="s">
        <v>158</v>
      </c>
      <c r="E61" s="56"/>
      <c r="F61" s="33" t="s">
        <v>16</v>
      </c>
      <c r="G61" s="34">
        <f t="shared" si="0"/>
        <v>3</v>
      </c>
      <c r="H61" s="35" t="s">
        <v>159</v>
      </c>
      <c r="I61" s="36"/>
      <c r="J61" s="30">
        <f t="shared" si="1"/>
        <v>0</v>
      </c>
      <c r="K61" s="37"/>
      <c r="L61" s="37"/>
      <c r="M61" s="37"/>
      <c r="N61" s="37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48" x14ac:dyDescent="0.3">
      <c r="A62" s="5"/>
      <c r="B62" s="59"/>
      <c r="C62" s="32" t="s">
        <v>77</v>
      </c>
      <c r="D62" s="56" t="s">
        <v>160</v>
      </c>
      <c r="E62" s="56"/>
      <c r="F62" s="33" t="s">
        <v>17</v>
      </c>
      <c r="G62" s="34">
        <f t="shared" si="0"/>
        <v>2</v>
      </c>
      <c r="H62" s="35" t="s">
        <v>222</v>
      </c>
      <c r="I62" s="36"/>
      <c r="J62" s="30">
        <f t="shared" si="1"/>
        <v>0</v>
      </c>
      <c r="K62" s="37"/>
      <c r="L62" s="37"/>
      <c r="M62" s="37"/>
      <c r="N62" s="37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24" x14ac:dyDescent="0.3">
      <c r="A63" s="5"/>
      <c r="B63" s="59"/>
      <c r="C63" s="32" t="s">
        <v>78</v>
      </c>
      <c r="D63" s="56" t="s">
        <v>161</v>
      </c>
      <c r="E63" s="56"/>
      <c r="F63" s="33" t="s">
        <v>17</v>
      </c>
      <c r="G63" s="34">
        <f t="shared" si="0"/>
        <v>2</v>
      </c>
      <c r="H63" s="35" t="s">
        <v>223</v>
      </c>
      <c r="I63" s="36"/>
      <c r="J63" s="30">
        <f t="shared" si="1"/>
        <v>0</v>
      </c>
      <c r="K63" s="37"/>
      <c r="L63" s="37"/>
      <c r="M63" s="37"/>
      <c r="N63" s="37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24" x14ac:dyDescent="0.3">
      <c r="A64" s="5"/>
      <c r="B64" s="59"/>
      <c r="C64" s="32" t="s">
        <v>79</v>
      </c>
      <c r="D64" s="56" t="s">
        <v>162</v>
      </c>
      <c r="E64" s="56"/>
      <c r="F64" s="33" t="s">
        <v>18</v>
      </c>
      <c r="G64" s="34">
        <f t="shared" si="0"/>
        <v>1</v>
      </c>
      <c r="H64" s="35" t="s">
        <v>224</v>
      </c>
      <c r="I64" s="36"/>
      <c r="J64" s="30">
        <f t="shared" si="1"/>
        <v>0</v>
      </c>
      <c r="K64" s="37"/>
      <c r="L64" s="37"/>
      <c r="M64" s="37"/>
      <c r="N64" s="37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4" x14ac:dyDescent="0.3">
      <c r="A65" s="5"/>
      <c r="B65" s="59"/>
      <c r="C65" s="32" t="s">
        <v>80</v>
      </c>
      <c r="D65" s="56" t="s">
        <v>163</v>
      </c>
      <c r="E65" s="56"/>
      <c r="F65" s="33" t="s">
        <v>17</v>
      </c>
      <c r="G65" s="34">
        <f t="shared" si="0"/>
        <v>2</v>
      </c>
      <c r="H65" s="35" t="s">
        <v>225</v>
      </c>
      <c r="I65" s="36"/>
      <c r="J65" s="30">
        <f t="shared" si="1"/>
        <v>0</v>
      </c>
      <c r="K65" s="37"/>
      <c r="L65" s="37"/>
      <c r="M65" s="37"/>
      <c r="N65" s="37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4" x14ac:dyDescent="0.3">
      <c r="A66" s="5"/>
      <c r="B66" s="59"/>
      <c r="C66" s="32" t="s">
        <v>81</v>
      </c>
      <c r="D66" s="56" t="s">
        <v>164</v>
      </c>
      <c r="E66" s="56"/>
      <c r="F66" s="33" t="s">
        <v>17</v>
      </c>
      <c r="G66" s="34">
        <f t="shared" si="0"/>
        <v>2</v>
      </c>
      <c r="H66" s="35" t="s">
        <v>165</v>
      </c>
      <c r="I66" s="36"/>
      <c r="J66" s="30">
        <f t="shared" si="1"/>
        <v>0</v>
      </c>
      <c r="K66" s="37"/>
      <c r="L66" s="37"/>
      <c r="M66" s="37"/>
      <c r="N66" s="37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36" x14ac:dyDescent="0.3">
      <c r="A67" s="5"/>
      <c r="B67" s="59"/>
      <c r="C67" s="32" t="s">
        <v>82</v>
      </c>
      <c r="D67" s="56" t="s">
        <v>166</v>
      </c>
      <c r="E67" s="56"/>
      <c r="F67" s="33" t="s">
        <v>18</v>
      </c>
      <c r="G67" s="34">
        <f t="shared" si="0"/>
        <v>1</v>
      </c>
      <c r="H67" s="35" t="s">
        <v>167</v>
      </c>
      <c r="I67" s="36"/>
      <c r="J67" s="30">
        <f t="shared" si="1"/>
        <v>0</v>
      </c>
      <c r="K67" s="37"/>
      <c r="L67" s="37"/>
      <c r="M67" s="37"/>
      <c r="N67" s="37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24" x14ac:dyDescent="0.3">
      <c r="A68" s="5"/>
      <c r="B68" s="59"/>
      <c r="C68" s="32" t="s">
        <v>83</v>
      </c>
      <c r="D68" s="56" t="s">
        <v>168</v>
      </c>
      <c r="E68" s="56"/>
      <c r="F68" s="33" t="s">
        <v>17</v>
      </c>
      <c r="G68" s="34">
        <f t="shared" si="0"/>
        <v>2</v>
      </c>
      <c r="H68" s="35" t="s">
        <v>226</v>
      </c>
      <c r="I68" s="36"/>
      <c r="J68" s="30">
        <f t="shared" si="1"/>
        <v>0</v>
      </c>
      <c r="K68" s="37"/>
      <c r="L68" s="37"/>
      <c r="M68" s="37"/>
      <c r="N68" s="37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24" x14ac:dyDescent="0.3">
      <c r="A69" s="5"/>
      <c r="B69" s="59"/>
      <c r="C69" s="32" t="s">
        <v>84</v>
      </c>
      <c r="D69" s="55" t="s">
        <v>169</v>
      </c>
      <c r="E69" s="55"/>
      <c r="F69" s="33" t="s">
        <v>17</v>
      </c>
      <c r="G69" s="34">
        <f t="shared" si="0"/>
        <v>2</v>
      </c>
      <c r="H69" s="35" t="s">
        <v>170</v>
      </c>
      <c r="I69" s="36"/>
      <c r="J69" s="30">
        <f t="shared" si="1"/>
        <v>0</v>
      </c>
      <c r="K69" s="37"/>
      <c r="L69" s="37"/>
      <c r="M69" s="37"/>
      <c r="N69" s="37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24" x14ac:dyDescent="0.3">
      <c r="A70" s="5"/>
      <c r="B70" s="59"/>
      <c r="C70" s="32" t="s">
        <v>85</v>
      </c>
      <c r="D70" s="55" t="s">
        <v>171</v>
      </c>
      <c r="E70" s="55"/>
      <c r="F70" s="33" t="s">
        <v>16</v>
      </c>
      <c r="G70" s="34">
        <f t="shared" si="0"/>
        <v>3</v>
      </c>
      <c r="H70" s="35" t="s">
        <v>172</v>
      </c>
      <c r="I70" s="36"/>
      <c r="J70" s="30">
        <f t="shared" si="1"/>
        <v>0</v>
      </c>
      <c r="K70" s="37"/>
      <c r="L70" s="37"/>
      <c r="M70" s="37"/>
      <c r="N70" s="37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96" x14ac:dyDescent="0.3">
      <c r="A71" s="5"/>
      <c r="B71" s="59"/>
      <c r="C71" s="32" t="s">
        <v>86</v>
      </c>
      <c r="D71" s="56" t="s">
        <v>173</v>
      </c>
      <c r="E71" s="56"/>
      <c r="F71" s="33" t="s">
        <v>17</v>
      </c>
      <c r="G71" s="34">
        <f t="shared" si="0"/>
        <v>2</v>
      </c>
      <c r="H71" s="35" t="s">
        <v>227</v>
      </c>
      <c r="I71" s="36"/>
      <c r="J71" s="30">
        <f t="shared" si="1"/>
        <v>0</v>
      </c>
      <c r="K71" s="37"/>
      <c r="L71" s="37"/>
      <c r="M71" s="37"/>
      <c r="N71" s="37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24" x14ac:dyDescent="0.3">
      <c r="A72" s="5"/>
      <c r="B72" s="59"/>
      <c r="C72" s="32" t="s">
        <v>87</v>
      </c>
      <c r="D72" s="55" t="s">
        <v>174</v>
      </c>
      <c r="E72" s="55"/>
      <c r="F72" s="33" t="s">
        <v>16</v>
      </c>
      <c r="G72" s="34">
        <f t="shared" si="0"/>
        <v>3</v>
      </c>
      <c r="H72" s="35" t="s">
        <v>228</v>
      </c>
      <c r="I72" s="36"/>
      <c r="J72" s="30">
        <f t="shared" si="1"/>
        <v>0</v>
      </c>
      <c r="K72" s="37"/>
      <c r="L72" s="37"/>
      <c r="M72" s="37"/>
      <c r="N72" s="37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36" x14ac:dyDescent="0.3">
      <c r="A73" s="5"/>
      <c r="B73" s="59"/>
      <c r="C73" s="32" t="s">
        <v>88</v>
      </c>
      <c r="D73" s="56" t="s">
        <v>175</v>
      </c>
      <c r="E73" s="56"/>
      <c r="F73" s="33" t="s">
        <v>18</v>
      </c>
      <c r="G73" s="34">
        <f t="shared" si="0"/>
        <v>1</v>
      </c>
      <c r="H73" s="35" t="s">
        <v>229</v>
      </c>
      <c r="I73" s="36"/>
      <c r="J73" s="30">
        <f t="shared" si="1"/>
        <v>0</v>
      </c>
      <c r="K73" s="45"/>
      <c r="L73" s="37"/>
      <c r="M73" s="37"/>
      <c r="N73" s="37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24" x14ac:dyDescent="0.3">
      <c r="A74" s="5"/>
      <c r="B74" s="60"/>
      <c r="C74" s="38" t="s">
        <v>89</v>
      </c>
      <c r="D74" s="57" t="s">
        <v>176</v>
      </c>
      <c r="E74" s="57"/>
      <c r="F74" s="39" t="s">
        <v>17</v>
      </c>
      <c r="G74" s="40">
        <f t="shared" si="0"/>
        <v>2</v>
      </c>
      <c r="H74" s="41" t="s">
        <v>230</v>
      </c>
      <c r="I74" s="42"/>
      <c r="J74" s="30">
        <f t="shared" si="1"/>
        <v>0</v>
      </c>
      <c r="K74" s="43"/>
      <c r="L74" s="43"/>
      <c r="M74" s="43"/>
      <c r="N74" s="43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48" x14ac:dyDescent="0.3">
      <c r="A75" s="5"/>
      <c r="B75" s="15" t="s">
        <v>21</v>
      </c>
      <c r="C75" s="13" t="s">
        <v>90</v>
      </c>
      <c r="D75" s="16" t="s">
        <v>177</v>
      </c>
      <c r="E75" s="16"/>
      <c r="F75" s="14" t="s">
        <v>16</v>
      </c>
      <c r="G75" s="63">
        <f t="shared" si="0"/>
        <v>3</v>
      </c>
      <c r="H75" s="64" t="s">
        <v>231</v>
      </c>
      <c r="I75" s="65"/>
      <c r="J75" s="30">
        <f t="shared" si="1"/>
        <v>0</v>
      </c>
      <c r="K75" s="66"/>
      <c r="L75" s="66"/>
      <c r="M75" s="66"/>
      <c r="N75" s="66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24" x14ac:dyDescent="0.3">
      <c r="A76" s="5"/>
      <c r="B76" s="58" t="s">
        <v>22</v>
      </c>
      <c r="C76" s="25" t="s">
        <v>91</v>
      </c>
      <c r="D76" s="62" t="s">
        <v>178</v>
      </c>
      <c r="E76" s="62"/>
      <c r="F76" s="26" t="s">
        <v>17</v>
      </c>
      <c r="G76" s="27">
        <f t="shared" si="0"/>
        <v>2</v>
      </c>
      <c r="H76" s="28" t="s">
        <v>232</v>
      </c>
      <c r="I76" s="29"/>
      <c r="J76" s="30">
        <f t="shared" si="1"/>
        <v>0</v>
      </c>
      <c r="K76" s="31"/>
      <c r="L76" s="31"/>
      <c r="M76" s="31"/>
      <c r="N76" s="31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48" x14ac:dyDescent="0.3">
      <c r="A77" s="5"/>
      <c r="B77" s="59"/>
      <c r="C77" s="32" t="s">
        <v>92</v>
      </c>
      <c r="D77" s="55" t="s">
        <v>179</v>
      </c>
      <c r="E77" s="55"/>
      <c r="F77" s="33" t="s">
        <v>17</v>
      </c>
      <c r="G77" s="34">
        <f t="shared" ref="G77:G78" si="2">IF(F77="상",3,IF(F77="중",2,1))</f>
        <v>2</v>
      </c>
      <c r="H77" s="35" t="s">
        <v>233</v>
      </c>
      <c r="I77" s="36"/>
      <c r="J77" s="30">
        <f t="shared" ref="J77:J78" si="3">IF(I77="N/A","N/A",(IF(I77="양호",1,IF(I77="위험수용",0.5,0))*$G77))</f>
        <v>0</v>
      </c>
      <c r="K77" s="45"/>
      <c r="L77" s="37"/>
      <c r="M77" s="37"/>
      <c r="N77" s="37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24" x14ac:dyDescent="0.3">
      <c r="A78" s="5"/>
      <c r="B78" s="60"/>
      <c r="C78" s="38" t="s">
        <v>93</v>
      </c>
      <c r="D78" s="57" t="s">
        <v>180</v>
      </c>
      <c r="E78" s="57"/>
      <c r="F78" s="39" t="s">
        <v>17</v>
      </c>
      <c r="G78" s="40">
        <f t="shared" si="2"/>
        <v>2</v>
      </c>
      <c r="H78" s="41" t="s">
        <v>234</v>
      </c>
      <c r="I78" s="42"/>
      <c r="J78" s="30">
        <f t="shared" si="3"/>
        <v>0</v>
      </c>
      <c r="K78" s="43"/>
      <c r="L78" s="43"/>
      <c r="M78" s="43"/>
      <c r="N78" s="43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3">
      <c r="A79" s="5"/>
      <c r="B79" s="46" t="s">
        <v>23</v>
      </c>
      <c r="C79" s="47"/>
      <c r="D79" s="47"/>
      <c r="E79" s="48"/>
      <c r="F79" s="49"/>
      <c r="G79" s="49">
        <f>SUM($G$12:$G$78)-SUMIF(I12:I78,"N/A",G12:G78)</f>
        <v>164</v>
      </c>
      <c r="H79" s="50"/>
      <c r="I79" s="49">
        <f>COUNTIF(I12:I78,"&lt;&gt;N/A")</f>
        <v>67</v>
      </c>
      <c r="J79" s="49">
        <f>SUM(J12:J78)</f>
        <v>0</v>
      </c>
      <c r="K79" s="51"/>
      <c r="L79" s="51"/>
      <c r="M79" s="51"/>
      <c r="N79" s="51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</sheetData>
  <mergeCells count="85">
    <mergeCell ref="G10:G11"/>
    <mergeCell ref="H10:H11"/>
    <mergeCell ref="K10:N10"/>
    <mergeCell ref="C4:D4"/>
    <mergeCell ref="F4:H4"/>
    <mergeCell ref="C5:D5"/>
    <mergeCell ref="F5:H5"/>
    <mergeCell ref="C6:D6"/>
    <mergeCell ref="F6:H6"/>
    <mergeCell ref="B10:B11"/>
    <mergeCell ref="C10:C11"/>
    <mergeCell ref="D10:E11"/>
    <mergeCell ref="F10:F11"/>
    <mergeCell ref="B12:B24"/>
    <mergeCell ref="D12:E12"/>
    <mergeCell ref="D13:E13"/>
    <mergeCell ref="D14:E14"/>
    <mergeCell ref="D15:E15"/>
    <mergeCell ref="D16:E16"/>
    <mergeCell ref="D38:E38"/>
    <mergeCell ref="D32:E32"/>
    <mergeCell ref="D33:E33"/>
    <mergeCell ref="D44:E44"/>
    <mergeCell ref="B45:B74"/>
    <mergeCell ref="D69:E69"/>
    <mergeCell ref="D70:E70"/>
    <mergeCell ref="D72:E72"/>
    <mergeCell ref="D39:E39"/>
    <mergeCell ref="D40:E40"/>
    <mergeCell ref="D41:E41"/>
    <mergeCell ref="B25:B44"/>
    <mergeCell ref="D25:E25"/>
    <mergeCell ref="D26:E26"/>
    <mergeCell ref="D27:E27"/>
    <mergeCell ref="D28:E28"/>
    <mergeCell ref="D34:E34"/>
    <mergeCell ref="D35:E35"/>
    <mergeCell ref="D36:E36"/>
    <mergeCell ref="D37:E37"/>
    <mergeCell ref="D23:E23"/>
    <mergeCell ref="D24:E24"/>
    <mergeCell ref="D29:E29"/>
    <mergeCell ref="D30:E30"/>
    <mergeCell ref="D31:E31"/>
    <mergeCell ref="D17:E17"/>
    <mergeCell ref="D18:E18"/>
    <mergeCell ref="D19:E19"/>
    <mergeCell ref="D20:E20"/>
    <mergeCell ref="D21:E21"/>
    <mergeCell ref="D22:E22"/>
    <mergeCell ref="D48:E48"/>
    <mergeCell ref="D75:E75"/>
    <mergeCell ref="B76:B78"/>
    <mergeCell ref="D77:E77"/>
    <mergeCell ref="B79:E79"/>
    <mergeCell ref="D42:E42"/>
    <mergeCell ref="D43:E43"/>
    <mergeCell ref="D45:E45"/>
    <mergeCell ref="D46:E46"/>
    <mergeCell ref="D47:E47"/>
    <mergeCell ref="D61:E61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59:E59"/>
    <mergeCell ref="D60:E60"/>
    <mergeCell ref="D78:E78"/>
    <mergeCell ref="D62:E62"/>
    <mergeCell ref="D63:E63"/>
    <mergeCell ref="D64:E64"/>
    <mergeCell ref="D65:E65"/>
    <mergeCell ref="D66:E66"/>
    <mergeCell ref="D67:E67"/>
    <mergeCell ref="D68:E68"/>
    <mergeCell ref="D71:E71"/>
    <mergeCell ref="D73:E73"/>
    <mergeCell ref="D74:E74"/>
    <mergeCell ref="D76:E76"/>
  </mergeCells>
  <phoneticPr fontId="1" type="noConversion"/>
  <conditionalFormatting sqref="F12:N78">
    <cfRule type="expression" dxfId="5" priority="5">
      <formula>$I12="취약"</formula>
    </cfRule>
    <cfRule type="expression" dxfId="4" priority="4">
      <formula>$I12="수동점검"</formula>
    </cfRule>
    <cfRule type="expression" dxfId="3" priority="3">
      <formula>$I12="N/A"</formula>
    </cfRule>
  </conditionalFormatting>
  <conditionalFormatting sqref="I12:I78">
    <cfRule type="expression" dxfId="2" priority="2">
      <formula>$I12="취약"</formula>
    </cfRule>
    <cfRule type="expression" dxfId="1" priority="1">
      <formula>$I12="수동점검"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Ⅰ. 표지</vt:lpstr>
      <vt:lpstr>Ⅱ. 개요</vt:lpstr>
      <vt:lpstr>Ⅲ. 점검대상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지환 이</dc:creator>
  <cp:lastModifiedBy>지환 이</cp:lastModifiedBy>
  <dcterms:created xsi:type="dcterms:W3CDTF">2026-04-17T05:29:23Z</dcterms:created>
  <dcterms:modified xsi:type="dcterms:W3CDTF">2026-04-17T08:48:58Z</dcterms:modified>
</cp:coreProperties>
</file>