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~1\AppData\Roaming\MobaXterm\slash\mx86_64b\RemoteFiles\396844_4_3\"/>
    </mc:Choice>
  </mc:AlternateContent>
  <xr:revisionPtr revIDLastSave="0" documentId="13_ncr:1_{EAC6BDE2-A06F-404B-90F5-06C558DAA7AC}" xr6:coauthVersionLast="47" xr6:coauthVersionMax="47" xr10:uidLastSave="{00000000-0000-0000-0000-000000000000}"/>
  <bookViews>
    <workbookView xWindow="28680" yWindow="-120" windowWidth="29040" windowHeight="15720" xr2:uid="{224DA954-41CF-4EF5-8CBE-28C3F032249C}"/>
  </bookViews>
  <sheets>
    <sheet name="Ⅰ. 표지" sheetId="1" r:id="rId1"/>
    <sheet name="Ⅱ. 개요" sheetId="2" r:id="rId2"/>
    <sheet name="Ⅲ. 점검대상" sheetId="3" r:id="rId3"/>
    <sheet name="Ⅳ. 보안점검 결과" sheetId="5" r:id="rId4"/>
    <sheet name="대응방안" sheetId="7" state="hidden" r:id="rId5"/>
    <sheet name="Ⅴ. 이행점검 결과" sheetId="8" r:id="rId6"/>
    <sheet name="template" sheetId="4" r:id="rId7"/>
  </sheets>
  <externalReferences>
    <externalReference r:id="rId8"/>
  </externalReferences>
  <definedNames>
    <definedName name="_xlnm.Print_Area" localSheetId="0">'Ⅰ. 표지'!$A$1:$N$32</definedName>
    <definedName name="_xlnm.Print_Area" localSheetId="6">template!$A$1:$N$105</definedName>
    <definedName name="고객사">"TextBox 5"</definedName>
    <definedName name="보안점검결과요약_대상">OFFSET([1]hidden!$N$26,0,0,COUNTA([1]hidden!$B$26:$B$45))</definedName>
    <definedName name="보안점검결과요약_취약개수">OFFSET([1]hidden!$O$26,0,0,COUNTA([1]hidden!$C$26:$C$45))</definedName>
    <definedName name="보안점검결과총평_대상">OFFSET([1]hidden!$B$26,0,0,COUNTA([1]hidden!$B$26:$B$30))</definedName>
    <definedName name="보안점검결과총평_점수">OFFSET([1]hidden!$D$26,0,0,COUNTA([1]hidden!$D$26:$D$30))</definedName>
    <definedName name="보안점검결과총평_평균">OFFSET([1]hidden!$E$26,0,0,COUNTA([1]hidden!$E$26:$E$30))</definedName>
    <definedName name="이행점검결과요약_대상">OFFSET([1]hidden!$Q$26,0,0,COUNTA([1]hidden!$G$26:$G$45))</definedName>
    <definedName name="이행점검결과요약_취약개수">OFFSET([1]hidden!$R$26,0,0,COUNTA([1]hidden!$H$26:$H$45))</definedName>
    <definedName name="이행점검결과총평_대상">OFFSET([1]hidden!$G$26,0,0,COUNTA([1]hidden!$G$26:$G$30))</definedName>
    <definedName name="이행점검결과총평_보안점수">OFFSET([1]hidden!$K$26,0,0,COUNTA([1]hidden!$G$26:$G$30))</definedName>
    <definedName name="이행점검결과총평_이행점수">OFFSET([1]hidden!$I$26,0,0,COUNTA([1]hidden!$I$26:$I$30))</definedName>
    <definedName name="이행점검결과총평_평균">OFFSET([1]hidden!$J$26,0,0,COUNTA([1]hidden!$J$26:$J$30))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Q79" i="4"/>
  <c r="P79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12" i="4"/>
  <c r="G13" i="4"/>
  <c r="G14" i="4"/>
  <c r="G15" i="4"/>
  <c r="J15" i="4" s="1"/>
  <c r="G16" i="4"/>
  <c r="J16" i="4" s="1"/>
  <c r="G17" i="4"/>
  <c r="J17" i="4" s="1"/>
  <c r="G18" i="4"/>
  <c r="J18" i="4" s="1"/>
  <c r="G19" i="4"/>
  <c r="J19" i="4" s="1"/>
  <c r="G20" i="4"/>
  <c r="J20" i="4" s="1"/>
  <c r="G21" i="4"/>
  <c r="J21" i="4" s="1"/>
  <c r="G22" i="4"/>
  <c r="J22" i="4" s="1"/>
  <c r="G23" i="4"/>
  <c r="J23" i="4" s="1"/>
  <c r="G24" i="4"/>
  <c r="J24" i="4" s="1"/>
  <c r="G25" i="4"/>
  <c r="G26" i="4"/>
  <c r="G27" i="4"/>
  <c r="G28" i="4"/>
  <c r="G29" i="4"/>
  <c r="J29" i="4" s="1"/>
  <c r="G30" i="4"/>
  <c r="J30" i="4" s="1"/>
  <c r="G31" i="4"/>
  <c r="G32" i="4"/>
  <c r="J32" i="4" s="1"/>
  <c r="G33" i="4"/>
  <c r="J33" i="4" s="1"/>
  <c r="G34" i="4"/>
  <c r="J34" i="4" s="1"/>
  <c r="G35" i="4"/>
  <c r="J35" i="4" s="1"/>
  <c r="G36" i="4"/>
  <c r="J36" i="4" s="1"/>
  <c r="G37" i="4"/>
  <c r="G38" i="4"/>
  <c r="G39" i="4"/>
  <c r="J39" i="4" s="1"/>
  <c r="G40" i="4"/>
  <c r="J40" i="4" s="1"/>
  <c r="G41" i="4"/>
  <c r="J41" i="4" s="1"/>
  <c r="G42" i="4"/>
  <c r="J42" i="4" s="1"/>
  <c r="G43" i="4"/>
  <c r="J43" i="4" s="1"/>
  <c r="G44" i="4"/>
  <c r="J44" i="4" s="1"/>
  <c r="G45" i="4"/>
  <c r="J45" i="4" s="1"/>
  <c r="G46" i="4"/>
  <c r="J46" i="4" s="1"/>
  <c r="G47" i="4"/>
  <c r="J47" i="4" s="1"/>
  <c r="G48" i="4"/>
  <c r="J48" i="4" s="1"/>
  <c r="G49" i="4"/>
  <c r="G50" i="4"/>
  <c r="G51" i="4"/>
  <c r="G52" i="4"/>
  <c r="J52" i="4" s="1"/>
  <c r="G53" i="4"/>
  <c r="J53" i="4" s="1"/>
  <c r="G54" i="4"/>
  <c r="J54" i="4" s="1"/>
  <c r="G55" i="4"/>
  <c r="J55" i="4" s="1"/>
  <c r="G56" i="4"/>
  <c r="J56" i="4" s="1"/>
  <c r="G57" i="4"/>
  <c r="J57" i="4" s="1"/>
  <c r="G58" i="4"/>
  <c r="J58" i="4" s="1"/>
  <c r="G59" i="4"/>
  <c r="G60" i="4"/>
  <c r="J60" i="4" s="1"/>
  <c r="G61" i="4"/>
  <c r="J61" i="4" s="1"/>
  <c r="G62" i="4"/>
  <c r="G63" i="4"/>
  <c r="J63" i="4" s="1"/>
  <c r="G64" i="4"/>
  <c r="J64" i="4" s="1"/>
  <c r="G65" i="4"/>
  <c r="J65" i="4" s="1"/>
  <c r="G66" i="4"/>
  <c r="J66" i="4" s="1"/>
  <c r="G67" i="4"/>
  <c r="J67" i="4" s="1"/>
  <c r="G68" i="4"/>
  <c r="J68" i="4" s="1"/>
  <c r="G69" i="4"/>
  <c r="J69" i="4" s="1"/>
  <c r="G70" i="4"/>
  <c r="J70" i="4" s="1"/>
  <c r="G71" i="4"/>
  <c r="J71" i="4" s="1"/>
  <c r="G72" i="4"/>
  <c r="J72" i="4" s="1"/>
  <c r="G73" i="4"/>
  <c r="J73" i="4" s="1"/>
  <c r="G74" i="4"/>
  <c r="G75" i="4"/>
  <c r="G76" i="4"/>
  <c r="J76" i="4" s="1"/>
  <c r="G77" i="4"/>
  <c r="J77" i="4" s="1"/>
  <c r="G78" i="4"/>
  <c r="J78" i="4" s="1"/>
  <c r="J59" i="4"/>
  <c r="J51" i="4"/>
  <c r="G12" i="4"/>
  <c r="J14" i="4"/>
  <c r="J26" i="4"/>
  <c r="J38" i="4"/>
  <c r="J50" i="4"/>
  <c r="J62" i="4"/>
  <c r="J74" i="4"/>
  <c r="J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12" i="4"/>
  <c r="J13" i="4"/>
  <c r="J25" i="4"/>
  <c r="J27" i="4"/>
  <c r="J28" i="4"/>
  <c r="J31" i="4"/>
  <c r="J37" i="4"/>
  <c r="J49" i="4"/>
  <c r="J75" i="4"/>
  <c r="I79" i="4"/>
  <c r="G79" i="4" l="1"/>
  <c r="J79" i="4"/>
  <c r="K79" i="4" l="1"/>
</calcChain>
</file>

<file path=xl/sharedStrings.xml><?xml version="1.0" encoding="utf-8"?>
<sst xmlns="http://schemas.openxmlformats.org/spreadsheetml/2006/main" count="1059" uniqueCount="349">
  <si>
    <t>Ⅲ. 점검 대상</t>
    <phoneticPr fontId="1" type="noConversion"/>
  </si>
  <si>
    <t>서버명</t>
    <phoneticPr fontId="1" type="noConversion"/>
  </si>
  <si>
    <t>IP Address</t>
    <phoneticPr fontId="1" type="noConversion"/>
  </si>
  <si>
    <t>OS/Version</t>
  </si>
  <si>
    <t>OS/Version</t>
    <phoneticPr fontId="1" type="noConversion"/>
  </si>
  <si>
    <t>비고</t>
    <phoneticPr fontId="1" type="noConversion"/>
  </si>
  <si>
    <t>서버이름</t>
    <phoneticPr fontId="9" type="noConversion"/>
  </si>
  <si>
    <t>HOSTNAME</t>
    <phoneticPr fontId="9" type="noConversion"/>
  </si>
  <si>
    <t>담당부서/담당자</t>
    <phoneticPr fontId="1" type="noConversion"/>
  </si>
  <si>
    <t>IP Address</t>
    <phoneticPr fontId="9" type="noConversion"/>
  </si>
  <si>
    <t>구분</t>
  </si>
  <si>
    <t>순번</t>
    <phoneticPr fontId="13" type="noConversion"/>
  </si>
  <si>
    <t>점검항목</t>
    <phoneticPr fontId="9" type="noConversion"/>
  </si>
  <si>
    <t>중요도</t>
    <phoneticPr fontId="13" type="noConversion"/>
  </si>
  <si>
    <t>1. 계정관리</t>
    <phoneticPr fontId="1" type="noConversion"/>
  </si>
  <si>
    <t>상</t>
    <phoneticPr fontId="1" type="noConversion"/>
  </si>
  <si>
    <t>중</t>
    <phoneticPr fontId="1" type="noConversion"/>
  </si>
  <si>
    <t>하</t>
    <phoneticPr fontId="1" type="noConversion"/>
  </si>
  <si>
    <t>2. 파일 및 디렉터리 관리</t>
    <phoneticPr fontId="1" type="noConversion"/>
  </si>
  <si>
    <t>3. 서비스 관리</t>
    <phoneticPr fontId="1" type="noConversion"/>
  </si>
  <si>
    <t>4. 패치 관리</t>
    <phoneticPr fontId="1" type="noConversion"/>
  </si>
  <si>
    <t>5. 로그 관리</t>
    <phoneticPr fontId="1" type="noConversion"/>
  </si>
  <si>
    <t>합계</t>
    <phoneticPr fontId="13" type="noConversion"/>
  </si>
  <si>
    <t>보안점검</t>
    <phoneticPr fontId="1" type="noConversion"/>
  </si>
  <si>
    <t>결과</t>
    <phoneticPr fontId="1" type="noConversion"/>
  </si>
  <si>
    <t>현황</t>
    <phoneticPr fontId="1" type="noConversion"/>
  </si>
  <si>
    <t>U-01</t>
    <phoneticPr fontId="1" type="noConversion"/>
  </si>
  <si>
    <t>U-02</t>
    <phoneticPr fontId="1" type="noConversion"/>
  </si>
  <si>
    <t>U-03</t>
  </si>
  <si>
    <t>U-04</t>
  </si>
  <si>
    <t>U-05</t>
  </si>
  <si>
    <t>U-06</t>
  </si>
  <si>
    <t>U-07</t>
  </si>
  <si>
    <t>U-08</t>
  </si>
  <si>
    <t>U-09</t>
  </si>
  <si>
    <t>U-10</t>
  </si>
  <si>
    <t>U-11</t>
  </si>
  <si>
    <t>U-12</t>
  </si>
  <si>
    <t>U-13</t>
  </si>
  <si>
    <t>U-14</t>
  </si>
  <si>
    <t>U-15</t>
  </si>
  <si>
    <t>U-16</t>
  </si>
  <si>
    <t>U-17</t>
  </si>
  <si>
    <t>U-18</t>
  </si>
  <si>
    <t>U-19</t>
  </si>
  <si>
    <t>U-20</t>
  </si>
  <si>
    <t>U-21</t>
  </si>
  <si>
    <t>U-22</t>
  </si>
  <si>
    <t>U-23</t>
  </si>
  <si>
    <t>U-24</t>
  </si>
  <si>
    <t>U-25</t>
  </si>
  <si>
    <t>U-26</t>
  </si>
  <si>
    <t>U-27</t>
  </si>
  <si>
    <t>U-28</t>
  </si>
  <si>
    <t>U-29</t>
  </si>
  <si>
    <t>U-30</t>
  </si>
  <si>
    <t>U-31</t>
  </si>
  <si>
    <t>U-32</t>
  </si>
  <si>
    <t>U-33</t>
  </si>
  <si>
    <t>U-34</t>
  </si>
  <si>
    <t>U-35</t>
  </si>
  <si>
    <t>U-36</t>
  </si>
  <si>
    <t>U-37</t>
  </si>
  <si>
    <t>U-38</t>
  </si>
  <si>
    <t>U-39</t>
  </si>
  <si>
    <t>U-40</t>
  </si>
  <si>
    <t>U-41</t>
  </si>
  <si>
    <t>U-42</t>
  </si>
  <si>
    <t>U-43</t>
  </si>
  <si>
    <t>U-44</t>
  </si>
  <si>
    <t>U-45</t>
  </si>
  <si>
    <t>U-46</t>
  </si>
  <si>
    <t>U-47</t>
  </si>
  <si>
    <t>U-48</t>
  </si>
  <si>
    <t>U-49</t>
  </si>
  <si>
    <t>U-50</t>
  </si>
  <si>
    <t>U-51</t>
  </si>
  <si>
    <t>U-52</t>
  </si>
  <si>
    <t>U-53</t>
  </si>
  <si>
    <t>U-54</t>
  </si>
  <si>
    <t>U-55</t>
  </si>
  <si>
    <t>U-56</t>
  </si>
  <si>
    <t>U-57</t>
  </si>
  <si>
    <t>U-58</t>
  </si>
  <si>
    <t>U-59</t>
  </si>
  <si>
    <t>U-60</t>
  </si>
  <si>
    <t>U-61</t>
  </si>
  <si>
    <t>U-62</t>
  </si>
  <si>
    <t>U-63</t>
  </si>
  <si>
    <t>U-64</t>
  </si>
  <si>
    <t>U-65</t>
  </si>
  <si>
    <t>U-66</t>
  </si>
  <si>
    <t>U-67</t>
  </si>
  <si>
    <t>점수</t>
    <phoneticPr fontId="1" type="noConversion"/>
  </si>
  <si>
    <t>점검기준</t>
    <phoneticPr fontId="1" type="noConversion"/>
  </si>
  <si>
    <t>점수</t>
    <phoneticPr fontId="13" type="noConversion"/>
  </si>
  <si>
    <t>인터뷰 사항</t>
    <phoneticPr fontId="1" type="noConversion"/>
  </si>
  <si>
    <t>권고사항</t>
  </si>
  <si>
    <t>담당자 의견</t>
    <phoneticPr fontId="1" type="noConversion"/>
  </si>
  <si>
    <t>root 계정 원격 접속 제한</t>
    <phoneticPr fontId="1" type="noConversion"/>
  </si>
  <si>
    <t>[양호] 원격터미널 서비스를 사용하지 않거나, 사용 시 root 직접 접속을 차단한 경우
[취약] 원격터미널 서비스 사용 시 root 직접 접속을 허용한 경우</t>
    <phoneticPr fontId="1" type="noConversion"/>
  </si>
  <si>
    <t>양호</t>
  </si>
  <si>
    <t>비밀번호 관리정책 설정</t>
    <phoneticPr fontId="1" type="noConversion"/>
  </si>
  <si>
    <t>[양호] 비밀번호 관리 정책이 설정된 경우
[취약] 비밀번호 관리 정책이 설정되지 않은 경우</t>
    <phoneticPr fontId="1" type="noConversion"/>
  </si>
  <si>
    <t>계정 잠금 임계값 설정</t>
    <phoneticPr fontId="1" type="noConversion"/>
  </si>
  <si>
    <t>비밀번호 파일 보호</t>
    <phoneticPr fontId="1" type="noConversion"/>
  </si>
  <si>
    <t>root 이외의 UID가 '0' 금지</t>
    <phoneticPr fontId="1" type="noConversion"/>
  </si>
  <si>
    <t>사용자 계정 su 기능 제한</t>
    <phoneticPr fontId="1" type="noConversion"/>
  </si>
  <si>
    <t>불필요한 계정 제거</t>
    <phoneticPr fontId="1" type="noConversion"/>
  </si>
  <si>
    <t>관리자 그룹에 최소한의 계정 포함</t>
    <phoneticPr fontId="1" type="noConversion"/>
  </si>
  <si>
    <t>계정이 존재하지 않는 GID 금지</t>
    <phoneticPr fontId="1" type="noConversion"/>
  </si>
  <si>
    <t>동일한 UID 금지</t>
    <phoneticPr fontId="1" type="noConversion"/>
  </si>
  <si>
    <t>[양호] 동일한 UID로 설정된 사용자 계정이 존재하지 않는 경우
[취약] 동일한 UID로 설정된 사용자 계정이 존재하는 경우</t>
    <phoneticPr fontId="1" type="noConversion"/>
  </si>
  <si>
    <t>사용자 shell 점검</t>
    <phoneticPr fontId="1" type="noConversion"/>
  </si>
  <si>
    <t>[양호] 로그인이 필요하지 않은 계정에 /bin/false(/sbin/nologin) 쉘이 부여된 경우
[취약] 로그인이 필요하지 않은 계정에 /bin/false(/sbin/nologin) 쉘이 부여되지 않은 경우</t>
    <phoneticPr fontId="1" type="noConversion"/>
  </si>
  <si>
    <t>세션 종료 시간 설정</t>
    <phoneticPr fontId="1" type="noConversion"/>
  </si>
  <si>
    <t>안전한 비밀번호 암호화 알고리즘 사용</t>
    <phoneticPr fontId="1" type="noConversion"/>
  </si>
  <si>
    <t>root 홈, 패스 디렉터리 권한 및 패스 설정</t>
    <phoneticPr fontId="1" type="noConversion"/>
  </si>
  <si>
    <t>파일 및 디렉터리 소유자 설정</t>
    <phoneticPr fontId="1" type="noConversion"/>
  </si>
  <si>
    <t>/etc/passwd 파일 소유자 및 권한 설정</t>
    <phoneticPr fontId="1" type="noConversion"/>
  </si>
  <si>
    <t>시스템 시작 스크립트 권한 설정</t>
    <phoneticPr fontId="1" type="noConversion"/>
  </si>
  <si>
    <t>/etc/shadow 파일의 소유자가 root이고, 권한이 400 이하인 경우</t>
    <phoneticPr fontId="1" type="noConversion"/>
  </si>
  <si>
    <t>/etc/hosts 파일 소유자 및 권한 설정</t>
    <phoneticPr fontId="1" type="noConversion"/>
  </si>
  <si>
    <t>/etc/(x)inetd.conf 파일 소유자 및 권한 설정</t>
    <phoneticPr fontId="1" type="noConversion"/>
  </si>
  <si>
    <t>/etc/(r)syslog.conf 파일 소유자 및 권한 설정</t>
    <phoneticPr fontId="1" type="noConversion"/>
  </si>
  <si>
    <t>/etc/services 파일 소유자 및 권한 설정</t>
    <phoneticPr fontId="1" type="noConversion"/>
  </si>
  <si>
    <t>SUID, SGID, Sticky bit 설정 파일 점검</t>
    <phoneticPr fontId="1" type="noConversion"/>
  </si>
  <si>
    <t>사용자, 시스템 환경변수 파일 소유자 및 권한 설정</t>
    <phoneticPr fontId="1" type="noConversion"/>
  </si>
  <si>
    <t>world writable 파일 점검</t>
    <phoneticPr fontId="1" type="noConversion"/>
  </si>
  <si>
    <t>/dev에 존재하지 않는 device 파일 점검</t>
    <phoneticPr fontId="1" type="noConversion"/>
  </si>
  <si>
    <t>$HOME/.rhosts, hosts.equiv 사용 금지</t>
    <phoneticPr fontId="1" type="noConversion"/>
  </si>
  <si>
    <t>접속 IP 및 포트 제한</t>
    <phoneticPr fontId="1" type="noConversion"/>
  </si>
  <si>
    <t>hosts.lpd 파일 소유자 및 권한 설정</t>
    <phoneticPr fontId="1" type="noConversion"/>
  </si>
  <si>
    <t>UMASK 설정 관리</t>
    <phoneticPr fontId="1" type="noConversion"/>
  </si>
  <si>
    <t>홈디렉토리 소유자 및 권한 설정</t>
    <phoneticPr fontId="1" type="noConversion"/>
  </si>
  <si>
    <t>홈 디렉토리로 지정한 디렉토리의 존재 관리</t>
    <phoneticPr fontId="1" type="noConversion"/>
  </si>
  <si>
    <t>숨겨진 파일 및 디렉토리 검색 및 제거</t>
    <phoneticPr fontId="1" type="noConversion"/>
  </si>
  <si>
    <t>Finger 서비스 비활성화</t>
    <phoneticPr fontId="1" type="noConversion"/>
  </si>
  <si>
    <t>공유 서비스에 대한 익명 접근 제한 설정</t>
    <phoneticPr fontId="1" type="noConversion"/>
  </si>
  <si>
    <t>r 계열 서비스 비활성화</t>
    <phoneticPr fontId="1" type="noConversion"/>
  </si>
  <si>
    <t>crontab 설정파일 권한 설정 미흡</t>
    <phoneticPr fontId="1" type="noConversion"/>
  </si>
  <si>
    <t>DoS 공격에 취약한 서비스 비활성화</t>
    <phoneticPr fontId="1" type="noConversion"/>
  </si>
  <si>
    <t>불필요한 NFS 서비스 비활성화</t>
    <phoneticPr fontId="1" type="noConversion"/>
  </si>
  <si>
    <t>[양호] 불필요한 NFS 서비스 관련 데몬이 비활성화된 경우
[취약] 불필요한 NFS 서비스 관련 데몬이 활성화된 경우</t>
    <phoneticPr fontId="1" type="noConversion"/>
  </si>
  <si>
    <t>NFS 접근 통제</t>
    <phoneticPr fontId="1" type="noConversion"/>
  </si>
  <si>
    <t>불필요한 automountd 제거</t>
    <phoneticPr fontId="1" type="noConversion"/>
  </si>
  <si>
    <t>불필요한 RPC 서비스 비활성화</t>
    <phoneticPr fontId="1" type="noConversion"/>
  </si>
  <si>
    <t>NIS, NIS+ 점검</t>
    <phoneticPr fontId="1" type="noConversion"/>
  </si>
  <si>
    <t>tftp, talk 서비스 비활성화</t>
    <phoneticPr fontId="1" type="noConversion"/>
  </si>
  <si>
    <t>메일 서비스 버전 점검</t>
    <phoneticPr fontId="1" type="noConversion"/>
  </si>
  <si>
    <t>[양호] 메일 서비스 버전이 최신 버전인 경우
[취약] 메일 서비스 버전이 최신 버전이 아닌 경우</t>
    <phoneticPr fontId="1" type="noConversion"/>
  </si>
  <si>
    <t>일반 사용자의 메일 서비스 실행 방지</t>
    <phoneticPr fontId="1" type="noConversion"/>
  </si>
  <si>
    <t>스팸 메일 릴레이 제한</t>
    <phoneticPr fontId="1" type="noConversion"/>
  </si>
  <si>
    <t>expn, vrfy 명령어 제한</t>
    <phoneticPr fontId="1" type="noConversion"/>
  </si>
  <si>
    <t>[양호] noexpn, novrfy 옵션이 설정된 경우
[취약] noexpn, novrfy 옵션이 설정되어 있지 않은 경우</t>
    <phoneticPr fontId="1" type="noConversion"/>
  </si>
  <si>
    <t>DNS 보안 버전 패치</t>
    <phoneticPr fontId="1" type="noConversion"/>
  </si>
  <si>
    <t>[양호] 주기적으로 패치를 관리하는 경우
[취약] 주기적으로 패치를 관리하고 있지 않은 경우</t>
    <phoneticPr fontId="1" type="noConversion"/>
  </si>
  <si>
    <t>DNS ZoneTransfer 설정</t>
    <phoneticPr fontId="1" type="noConversion"/>
  </si>
  <si>
    <t>[양호] Zone Transfer를 허가된 사용자에게만 허용한 경우
[취약] Zone Transfer를 모든 사용자에게 허용한 경우</t>
    <phoneticPr fontId="1" type="noConversion"/>
  </si>
  <si>
    <t>DNS 서비스의 취약한 동적 업데이트 설정 금지</t>
    <phoneticPr fontId="1" type="noConversion"/>
  </si>
  <si>
    <t>Telnet 서비스 비활성화</t>
    <phoneticPr fontId="1" type="noConversion"/>
  </si>
  <si>
    <t>FTP 서비스 정보 노출 제한</t>
    <phoneticPr fontId="1" type="noConversion"/>
  </si>
  <si>
    <t>암호화되지 않는 FTP 서비스 비활성화</t>
    <phoneticPr fontId="1" type="noConversion"/>
  </si>
  <si>
    <t>FTP 계정 shell 제한</t>
    <phoneticPr fontId="1" type="noConversion"/>
  </si>
  <si>
    <t>[양호] FTP 계정에 /bin/false(/sbin/nologin) 쉘이 부여된 경우
[취약] FTP 계정에 /bin/false(/sbin/nologin) 쉘이 부여되어 있지 않은 경우</t>
    <phoneticPr fontId="1" type="noConversion"/>
  </si>
  <si>
    <t>FTP 서비스 접근 제어 설정</t>
    <phoneticPr fontId="1" type="noConversion"/>
  </si>
  <si>
    <t>[양호] 특정 IP주소 또는 호스트에서만 FTP 서버에 접속할 수 있도록 접근 제어 설정을 적용한 경우
[취약] FTP 서버에 접근 제어 설정을 적용하지 않은 경우</t>
    <phoneticPr fontId="1" type="noConversion"/>
  </si>
  <si>
    <t>Ftpusers 파일 설정</t>
    <phoneticPr fontId="1" type="noConversion"/>
  </si>
  <si>
    <t>불필요한 SNMP 서비스 구동 점검</t>
    <phoneticPr fontId="1" type="noConversion"/>
  </si>
  <si>
    <t>[양호] SNMP 서비스를 사용하지 않는 경우
[취약] SNMP 서비스를 사용하는 경우</t>
    <phoneticPr fontId="1" type="noConversion"/>
  </si>
  <si>
    <t>안전한 SNMP 버전 사용</t>
    <phoneticPr fontId="1" type="noConversion"/>
  </si>
  <si>
    <t>[양호] SNMP 서비스를 v3 이상으로 사용하는 경우
[취약] SNMP 서비스를 v2 이하로 사용하는 경우</t>
    <phoneticPr fontId="1" type="noConversion"/>
  </si>
  <si>
    <t>SNMP Community String 복잡성 설정</t>
    <phoneticPr fontId="1" type="noConversion"/>
  </si>
  <si>
    <t>SNMP Access Control 설정</t>
    <phoneticPr fontId="1" type="noConversion"/>
  </si>
  <si>
    <t>로그인 시 경고 메시지 설정</t>
    <phoneticPr fontId="1" type="noConversion"/>
  </si>
  <si>
    <t>sudo 명령어 접근 관리</t>
    <phoneticPr fontId="1" type="noConversion"/>
  </si>
  <si>
    <t>주기적 보안 패치 및 벤더 권고사항 적용</t>
    <phoneticPr fontId="1" type="noConversion"/>
  </si>
  <si>
    <t>NTP 및 시각 동기화 설정</t>
    <phoneticPr fontId="1" type="noConversion"/>
  </si>
  <si>
    <t>정책에 따른 시스템 로깅 설정</t>
    <phoneticPr fontId="1" type="noConversion"/>
  </si>
  <si>
    <t>로그 디렉터리 소유자 및 권한 설정</t>
    <phoneticPr fontId="1" type="noConversion"/>
  </si>
  <si>
    <t>[양호] 소유자가 존재하지 않는 파일 및 디렉터리가 존재하지 않는 경우
[취약] 소유자가 존재하지 않는 파일 및 디렉터리가 존재하는 경우</t>
    <phoneticPr fontId="1" type="noConversion"/>
  </si>
  <si>
    <t>[양호] 계정 잠금 임계값이 10회 이하의 값으로 설정된 경우
[취약] 계정 잠금 임계값이 설정되어 있지 않거나, 10회 이하의 값으로 설정되지 않은 경우</t>
    <phoneticPr fontId="1" type="noConversion"/>
  </si>
  <si>
    <t>[양호] 쉐도우 비밀번호를 사용하거나, 비밀번호를 암호화하여 저장하는 경우
[취약] 쉐도우 비밀번호를 사용하지 않고, 비밀번호를 암호화하여 저장하지 않는 경우</t>
    <phoneticPr fontId="1" type="noConversion"/>
  </si>
  <si>
    <t>[양호] root 계정과 동일한 UID를 갖는 계정이 존재하지 않는 경우
[취약] root 계정과 동일한 UID를 갖는 계정이 존재하는 경우</t>
    <phoneticPr fontId="1" type="noConversion"/>
  </si>
  <si>
    <t>[양호] su 명령어를 특정 그룹에 속한 사용자만 사용하도록 제한된 경우
※ 일반 사용자 계정 없이 root 계정만 사용하는 경우 su 명령어 사용 제한 불필요
[취약] su 명령어를 모든 사용자가 사용하도록 설정된 경우</t>
    <phoneticPr fontId="1" type="noConversion"/>
  </si>
  <si>
    <t>[양호] 불필요한 계정이 존재하지 않는 경우
[취약] 불필요한 계정이 존재하는 경우</t>
    <phoneticPr fontId="1" type="noConversion"/>
  </si>
  <si>
    <t>[양호] 관리자 그룹에 불필요한 계정이 등록되어 있지 않은 경우
[취약] 관리자 그룹에 불필요한 계정이 등록된 경우</t>
    <phoneticPr fontId="1" type="noConversion"/>
  </si>
  <si>
    <t>[양호] 시스템 관리나 운용에 불필요한 그룹이 제거된 경우
[취약] 시스템 관리나 운용에 불필요한 그룹이 존재하는 경우</t>
    <phoneticPr fontId="1" type="noConversion"/>
  </si>
  <si>
    <t>[양호] Session Timeout이 600초(10분) 이하로 설정된 경우
[취약] Session Timeout이 600초(10분) 이하로 설정되지 않은 경우</t>
    <phoneticPr fontId="1" type="noConversion"/>
  </si>
  <si>
    <t>[양호] SHA-2 이상의 안전한 비밀번호 암호화 알고리즘을 사용하는 경우
[취약] 취약한 비밀번호 암호화 알고리즘을 사용하는 경우</t>
    <phoneticPr fontId="1" type="noConversion"/>
  </si>
  <si>
    <t>[양호] PATH 환경변수에 “.” 이 맨 앞이나 중간에 포함되지 않은 경우
[취약] PATH 환경변수에 “.” 이 맨 앞이나 중간에 포함된 경우</t>
    <phoneticPr fontId="1" type="noConversion"/>
  </si>
  <si>
    <t>[양호] /etc/passwd 파일의 소유자가 root이고, 권한이 644 이하인 경우
[취약] /etc/passwd 파일의 소유자가 root가 아니거나, 권한이 644 이하가 아닌 경우</t>
    <phoneticPr fontId="1" type="noConversion"/>
  </si>
  <si>
    <t>[양호] 시스템 시작 스크립트 파일의 소유자가 root이고, 일반 사용자의 쓰기 권한이 제거된 경우
[취약] 시스템 시작 스크립트 파일의 소유자가 root가 아니거나, 일반 사용자의 쓰기 권한이 부여된 경우</t>
    <phoneticPr fontId="1" type="noConversion"/>
  </si>
  <si>
    <t>[양호] /etc/shadow 파일의 소유자가 root이고, 권한이 400 이하인 경우
[취약] /etc/shadow 파일의 소유자가 root가 아니거나, 권한이 400 이하가 아닌 경우</t>
    <phoneticPr fontId="1" type="noConversion"/>
  </si>
  <si>
    <t>[양호] /etc/hosts 파일의 소유자가 root이고, 권한이 644 이하인 경우
[취약] /etc/hosts 파일의 소유자가 root가 아니거나, 권한이 644 이하가 아닌 경우</t>
    <phoneticPr fontId="1" type="noConversion"/>
  </si>
  <si>
    <t>[양호] /etc/(x)inetd.conf 파일의 소유자가 root이고, 권한이 600 이하인 경우
[취약] /etc/(x)inetd.conf 파일의 소유자가 root가 아니거나, 권한이 600 이하가 아닌 경우</t>
    <phoneticPr fontId="1" type="noConversion"/>
  </si>
  <si>
    <t>[양호] /etc/(r)syslog.conf 파일의 소유자가 root(또는 bin, sys)이고, 권한이 640 이하인 경우
[취약] /etc/(r)syslog.conf 파일의 소유자가 root(또는 bin, sys)가 아니거나, 권한이 640 이하가 아닌 경우</t>
    <phoneticPr fontId="1" type="noConversion"/>
  </si>
  <si>
    <t>[양호] /etc/services 파일의 소유자가 root(또는 bin, sys)이고, 권한이 644 이하인 경우
[취약] /etc/services 파일의 소유자가 root(또는 bin, sys)가 아니거나, 권한이 644 이하가 아닌 경우</t>
    <phoneticPr fontId="1" type="noConversion"/>
  </si>
  <si>
    <t>[양호] 주요 실행 파일의 권한에 SUID와 SGID에 대한 설정이 부여되어 있지 않은 경우
[취약] 주요 실행 파일의 권한에 SUID와 SGID에 대한 설정이 부여된 경우</t>
    <phoneticPr fontId="1" type="noConversion"/>
  </si>
  <si>
    <t>[양호] 홈 디렉터리 환경변수 파일 소유자가 root 또는 해당 계정으로 지정되어 있고, 홈 디렉터리 환경변수 파일에 root 계정과 소유자만 쓰기 권한이 부여된 경우
[취약] 홈 디렉터리 환경변수 파일 소유자가 root 또는 해당 계정으로 지정되지 않거나, 홈 디렉터리 환경변수 파일에 root 계정과 소유자 외에 쓰기 권한이 부여된 경우</t>
    <phoneticPr fontId="1" type="noConversion"/>
  </si>
  <si>
    <t>[양호] world writable 파일이 존재하지 않거나, 존재 시 설정 이유를 인지하고 있는 경우
[취약] world writable 파일이 존재하나 설정 이유를 인지하지 못하고 있는 경우</t>
    <phoneticPr fontId="1" type="noConversion"/>
  </si>
  <si>
    <t>[양호] /dev 디렉터리에 대한 파일 점검 후 존재하지 않는 device 파일을 제거한 경우
[취약] /dev 디렉터리에 대한 파일 미점검 또는 존재하지 않는 device 파일을 방치한 경우</t>
    <phoneticPr fontId="1" type="noConversion"/>
  </si>
  <si>
    <t>[양호] rlogin, rsh, rexec 서비스를 사용하지 않거나, 사용 시 아래와 같은 설정이 적용된 경우
1. /etc/hosts.equiv 및 $HOME/.rhosts 파일 소유자가 root 또는 해당 계정인 경우
2. /etc/hosts.equiv 및 $HOME/.rhosts 파일 권한이 600 이하인 경우
3. /etc/hosts.equiv 및 $HOME/.rhosts 파일 설정에 “+” 설정이 없는 경우
[취약] rlogin, rsh, rexec 서비스를 사용하며 아래와 같은 설정이 적용되지 않은 경우
1. /etc/hosts.equiv 및 $HOME/.rhosts 파일 소유자가 root 또는 해당 계정이 아닌 경우
2. /etc/hosts.equiv 및 $HOME/.rhosts 파일 권한이 600을 초과한 경우
3. /etc/hosts.equiv 및 $HOME/.rhosts 파일 설정에 “+” 설정이 존재하는 경우</t>
    <phoneticPr fontId="1" type="noConversion"/>
  </si>
  <si>
    <t>[양호] 접속을 허용할 특정 호스트에 대한 IP주소 및 포트 제한을 설정한 경우
[취약] 접속을 허용할 특정 호스트에 대한 IP주소 및 포트 제한을 설정하지 않은 경우</t>
    <phoneticPr fontId="1" type="noConversion"/>
  </si>
  <si>
    <t>[양호] /etc/hosts.lpd 파일이 존재하지 않거나, 불가피하게 사용 시 /etc/hosts.lpd 파일의 소유자가 root이고, 권한이 600 이하인 경우
[취약] /etc/hosts.lpd 파일이 존재하며, 파일의 소유자가 root가 아니거나, 권한이 600 이하가 아닌 경우</t>
    <phoneticPr fontId="1" type="noConversion"/>
  </si>
  <si>
    <t>[양호] UMASK 값이 022 이상으로 설정된 경우
[취약] UMASK 값이 022 미만으로 설정된 경우</t>
    <phoneticPr fontId="1" type="noConversion"/>
  </si>
  <si>
    <t>[양호] 홈 디렉토리 소유자가 해당 계정이고, 타 사용자 쓰기 권한이 제거된 경우
[취약] 홈 디렉토리 소유자가 해당 계정이 아니거나, 타 사용자 쓰기 권한이 부여된 경우</t>
    <phoneticPr fontId="1" type="noConversion"/>
  </si>
  <si>
    <t>[양호] 홈 디렉토리가 존재하지 않는 계정이 발견되지 않는 경우
[취약] 홈 디렉토리가 존재하지 않는 계정이 발견된 경우</t>
    <phoneticPr fontId="1" type="noConversion"/>
  </si>
  <si>
    <t>[양호] 불필요하거나 의심스러운 숨겨진 파일 및 디렉토리를 제거한 경우
[취약] 불필요하거나 의심스러운 숨겨진 파일 및 디렉토리를 제거하지 않은 경우</t>
    <phoneticPr fontId="1" type="noConversion"/>
  </si>
  <si>
    <t>[양호] Finger 서비스가 비활성화된 경우
[취약] Finger 서비스가 활성화된 경우</t>
    <phoneticPr fontId="1" type="noConversion"/>
  </si>
  <si>
    <t>[양호] 공유 서비스에 대해 익명 접근을 제한한 경우
[취약] 공유 서비스에 대해 익명 접근을 허용한 경우</t>
    <phoneticPr fontId="1" type="noConversion"/>
  </si>
  <si>
    <t>[양호] 불필요한 r 계열 서비스가 비활성화된 경우
[취약] 불필요한 r 계열 서비스가 활성화된 경우</t>
    <phoneticPr fontId="1" type="noConversion"/>
  </si>
  <si>
    <t>[양호] crontab 및 at 명령어에 일반 사용자 실행 권한이 제거되어 있으며, cron 및 at 관련 파일 권한이 640 이하인 경우
[취약] crontab 및 at 명령어에 일반 사용자 실행 권한이 부여되어 있으며, cron 및 at 관련 파일 권한이 640 이상인 경우</t>
    <phoneticPr fontId="1" type="noConversion"/>
  </si>
  <si>
    <t>[양호] DoS 공격에 취약한 서비스가 비활성화된 경우
[취약] DoS 공격에 취약한 서비스가 활성화된 경우</t>
    <phoneticPr fontId="1" type="noConversion"/>
  </si>
  <si>
    <t>[양호] 접근 통제가 설정되어 있으며 NFS 설정 파일 접근 권한이 644 이하인 경우
[취약] 접근 통제가 설정되어 있지 않고 NFS 설정 파일 접근 권한이 644를 초과하는 경우</t>
    <phoneticPr fontId="1" type="noConversion"/>
  </si>
  <si>
    <t>[양호] automountd 서비스가 비활성화된 경우
[취약] automountd 서비스가 활성화된 경우</t>
    <phoneticPr fontId="1" type="noConversion"/>
  </si>
  <si>
    <t>[양호] 불필요한 RPC 서비스가 비활성화된 경우
[취약] 불필요한 RPC 서비스가 활성화된 경우</t>
    <phoneticPr fontId="1" type="noConversion"/>
  </si>
  <si>
    <t>[양호] NIS 서비스가 비활성화되어 있거나, 불가피하게 사용 시 NIS+ 서비스를 사용하는 경우
[취약] NIS 서비스가 활성화된 경우</t>
    <phoneticPr fontId="1" type="noConversion"/>
  </si>
  <si>
    <t>[양호] tftp, talk, ntalk 서비스가 비활성화된 경우
[취약] tftp, talk, ntalk 서비스가 활성화된 경우</t>
    <phoneticPr fontId="1" type="noConversion"/>
  </si>
  <si>
    <t>[양호] 일반 사용자의 메일 서비스 실행 방지가 설정된 경우
[취약] 일반 사용자의 메일 서비스 실행 방지가 설정되어 있지 않은 경우</t>
    <phoneticPr fontId="1" type="noConversion"/>
  </si>
  <si>
    <t>[양호] 릴레이 제한이 설정된 경우
[취약] 릴레이 제한이 설정되어 있지 않은 경우</t>
    <phoneticPr fontId="1" type="noConversion"/>
  </si>
  <si>
    <t>[양호] DNS 서비스의 동적 업데이트 기능이 비활성화되었거나, 활성화 시 적절한 접근통제를 수행하고 있는 경우
[취약] DNS 서비스의 동적 업데이트 기능이 활성화 중이며 적절한 접근통제를 수행하고 있지 않은 경우</t>
    <phoneticPr fontId="1" type="noConversion"/>
  </si>
  <si>
    <t>[양호] 원격 접속 시 Telnet 프로토콜을 비활성화하고 있는 경우
[취약] 원격 접속 시 Telnet 프로토콜을 사용하는 경우</t>
    <phoneticPr fontId="1" type="noConversion"/>
  </si>
  <si>
    <t>[양호] FTP 접속 배너에 노출되는 정보가 없는 경우
[취약] FTP 접속 배너에 노출되는 정보가 있는 경우</t>
    <phoneticPr fontId="1" type="noConversion"/>
  </si>
  <si>
    <t>[양호] 암호화되지 않은 FTP 서비스가 비활성화된 경우
[취약] 암호화되지 않은 FTP 서비스가 활성화된 경우</t>
    <phoneticPr fontId="1" type="noConversion"/>
  </si>
  <si>
    <t>[양호] root 계정 접속을 차단한 경우
[취약] root 계정 접속을 허용한 경우</t>
    <phoneticPr fontId="1" type="noConversion"/>
  </si>
  <si>
    <t>[양호] SNMP Community String 기본값인 “public”, “private”이 아닌 영문자, 숫자 포함 10자리 이상 또는 영문자, 숫자, 특수문자 포함 8자리 이상인 경우
※ SNMP v3의 경우 별도 인증 기능을 사용하고, 해당 비밀번호가 복잡도를 만족하는 경우 양호
[취약] 아래의 내용 중 하나라도 해당되는 경우
1. SNMP Community String 기본값인 “public”, “private”일 경우
2. 영문자, 숫자 포함 10자리 미만인 경우
3. 영문자, 숫자, 특수문자 포함 8자리 미만인 경우</t>
    <phoneticPr fontId="1" type="noConversion"/>
  </si>
  <si>
    <t>[양호] SNMP 서비스에 접근 제어 설정이 되어 있는 경우
[취약] SNMP 서비스에 접근 제어 설정이 되어 있지 않은 경우</t>
    <phoneticPr fontId="1" type="noConversion"/>
  </si>
  <si>
    <t>[양호] 서버 및 Telnet, FTP, SMTP, DNS 서비스에 로그온 시 경고 메시지가 설정된 경우
[취약] 서버 및 Telnet, FTP, SMTP, DNS 서비스에 로그온 시 경고 메시지가 설정되어 있지 않은 경우</t>
    <phoneticPr fontId="1" type="noConversion"/>
  </si>
  <si>
    <t>[양호] /etc/sudoers 파일 소유자가 root이고, 파일 권한이 640인 경우
[취약] /etc/sudoers 파일 소유자가 root가 아니거나, 파일 권한이 640을 초과하는 경우</t>
    <phoneticPr fontId="1" type="noConversion"/>
  </si>
  <si>
    <t>[양호] 패치 적용 정책을 수립하여 주기적으로 패치 관리를 하고 있으며, 패치 관련 내용을 확인하고 적용하였을 경우
[취약] 패치 적용 정책을 수립하지 않고 주기적으로 패치 관리를 하지 않거나, 패치 관련 내용을 확인하지 않고 적용하지 않고 있는 경우</t>
    <phoneticPr fontId="1" type="noConversion"/>
  </si>
  <si>
    <t>[양호] NTP 및 시각 동기화 설정이 기준에 따라 적용된 경우
[취약] NTP 및 시각 동기화 설정이 기준에 따라 적용되어 있지 않은 경우</t>
    <phoneticPr fontId="1" type="noConversion"/>
  </si>
  <si>
    <t>[양호] 로그 기록 정책이 보안 정책에 따라 설정되어 수립되어 있으며, 로그를 남기고 있는 경우
[취약] 로그 기록 정책 미수립 또는 정책에 따라 설정되어 있지 않거나, 로그를 남기고 있지 않은 경우</t>
    <phoneticPr fontId="1" type="noConversion"/>
  </si>
  <si>
    <t>[양호] 디렉터리 내 로그 파일의 소유자가 root이고, 권한이 644 이하인 경우
[취약] 디렉터리 내 로그 파일의 소유자가 root가 아니거나, 권한이 644를 초과하는 경우</t>
    <phoneticPr fontId="1" type="noConversion"/>
  </si>
  <si>
    <t>수동점검</t>
  </si>
  <si>
    <t>수동점검</t>
    <phoneticPr fontId="1" type="noConversion"/>
  </si>
  <si>
    <t>취약</t>
  </si>
  <si>
    <t>N/A</t>
  </si>
  <si>
    <t xml:space="preserve">Ⅰ. 개 요 </t>
    <phoneticPr fontId="1" type="noConversion"/>
  </si>
  <si>
    <t>1.1. 점검 목적</t>
    <phoneticPr fontId="1" type="noConversion"/>
  </si>
  <si>
    <t>1.2. 기대 효과</t>
    <phoneticPr fontId="1" type="noConversion"/>
  </si>
  <si>
    <t xml:space="preserve"> → 보안점검을 통해 운영 중인 시스템상에 존재하는 취약점 조기에 발견
 → 도출된 결과에 대하여 취약점의 심각성 등을 심층적 분석
 → 현재의 보안수준을 평가하고 이에 대한 종합적인 대응책 도출
 → 도출된 대응책을 통해 운영 중인 웹 서비스의 보안성 강화</t>
    <phoneticPr fontId="1" type="noConversion"/>
  </si>
  <si>
    <t>1.3. 점검 방법</t>
    <phoneticPr fontId="1" type="noConversion"/>
  </si>
  <si>
    <t xml:space="preserve">  서버 취약점 점검은 시스템의 중요 파일의 변조 가능성 및 계정 정보의 정책 등을 점검하여 시스템이 보다 안전한 환경에서 운영될 수 있도록 하는데 목적을 둡니다.</t>
    <phoneticPr fontId="1" type="noConversion"/>
  </si>
  <si>
    <t>구 분</t>
  </si>
  <si>
    <t>점검 방법</t>
  </si>
  <si>
    <t>비 고</t>
    <phoneticPr fontId="1" type="noConversion"/>
  </si>
  <si>
    <t>체크리스트를 이용하여 보안지수를 점검</t>
  </si>
  <si>
    <t>인터뷰</t>
  </si>
  <si>
    <t>스크립트</t>
  </si>
  <si>
    <t>1.4. 점검 항목</t>
    <phoneticPr fontId="1" type="noConversion"/>
  </si>
  <si>
    <t>◎ 점검 등급</t>
    <phoneticPr fontId="1" type="noConversion"/>
  </si>
  <si>
    <t>설 명</t>
  </si>
  <si>
    <t>점검 항목의 보안 설정이 잘 적용되어 있음</t>
  </si>
  <si>
    <t>점검 항목의 보안 설정이 적용되어 있지 않음</t>
  </si>
  <si>
    <t>점검 항목이 해당 시스템과 관련이 없음</t>
  </si>
  <si>
    <t>점검 항목이 취약한 설정으로 되어 있지만 담당자가 인지하고 있음</t>
    <phoneticPr fontId="1" type="noConversion"/>
  </si>
  <si>
    <t>◎ 위험도</t>
    <phoneticPr fontId="1" type="noConversion"/>
  </si>
  <si>
    <t>상</t>
  </si>
  <si>
    <t>관리자 권한을 획득하거나 시스템 정지 가능</t>
  </si>
  <si>
    <t>중</t>
  </si>
  <si>
    <t>일반권한을 획득하거나 주요 정보 유출 가능</t>
  </si>
  <si>
    <t>하</t>
  </si>
  <si>
    <t>시스템 정보 등의 위협은 가능하나 영향력 미비</t>
  </si>
  <si>
    <t>순서</t>
    <phoneticPr fontId="1" type="noConversion"/>
  </si>
  <si>
    <t>HostName</t>
    <phoneticPr fontId="1" type="noConversion"/>
  </si>
  <si>
    <t>부서/담당자</t>
    <phoneticPr fontId="1" type="noConversion"/>
  </si>
  <si>
    <t>구분</t>
    <phoneticPr fontId="9" type="noConversion"/>
  </si>
  <si>
    <t>항목별
취약수</t>
    <phoneticPr fontId="1" type="noConversion"/>
  </si>
  <si>
    <t>총합계</t>
    <phoneticPr fontId="1" type="noConversion"/>
  </si>
  <si>
    <t>평가점수</t>
    <phoneticPr fontId="1" type="noConversion"/>
  </si>
  <si>
    <t>간략 권고 사항</t>
    <phoneticPr fontId="1" type="noConversion"/>
  </si>
  <si>
    <t>원격 접속 시 root 계정으로 접속할 수 없도록 파일 내용 설정</t>
    <phoneticPr fontId="1" type="noConversion"/>
  </si>
  <si>
    <t>root 계정을 포함한 사용자 계정의 비밀번호를 영문, 숫자, 특수문자를 포함하여 최소 8자리 이상 및 최소 사용 기간 1일, 최대 사용 기간 90일, 최근 비밀번호 기억 4회 이상으로 설정</t>
    <phoneticPr fontId="1" type="noConversion"/>
  </si>
  <si>
    <t>계정 잠금 임계값을 10회 이하로 설정</t>
    <phoneticPr fontId="1" type="noConversion"/>
  </si>
  <si>
    <t>비밀번호 암호화 저장·관리 설정</t>
    <phoneticPr fontId="1" type="noConversion"/>
  </si>
  <si>
    <t>UID가 0으로 설정된 계정을 0 이외의 중복되지 않은 UID로 변경 또는 불필요한 계정인 경우 제거하도록 설정</t>
    <phoneticPr fontId="1" type="noConversion"/>
  </si>
  <si>
    <t>PAM 모듈 설정 또는 su 명령어 허용 그룹 생성 후 su 명령어 일반 사용자 권한 제거하도록 설정</t>
    <phoneticPr fontId="1" type="noConversion"/>
  </si>
  <si>
    <t xml:space="preserve"> </t>
    <phoneticPr fontId="1" type="noConversion"/>
  </si>
  <si>
    <t>시스템의 존재하는 계정 확인 후 불필요한 계정 제거하도록 설정</t>
    <phoneticPr fontId="1" type="noConversion"/>
  </si>
  <si>
    <t>관리자 그룹에 등록된 계정 확인 후 불필요한 계정 제거하도록 설정</t>
    <phoneticPr fontId="1" type="noConversion"/>
  </si>
  <si>
    <t>불필요한 그룹이 존재하는 경우 관리자와 검토하여 제거하도록 설정</t>
    <phoneticPr fontId="1" type="noConversion"/>
  </si>
  <si>
    <t>동일한 UID를 가진 사용자 계정의 UID를 중복되지 않도록 변경하도록 설정</t>
    <phoneticPr fontId="1" type="noConversion"/>
  </si>
  <si>
    <t>로그인이 필요하지 않은 계정에 대해 /bin/false(/sbin/nologin) 쉘 부여 설정</t>
    <phoneticPr fontId="1" type="noConversion"/>
  </si>
  <si>
    <t>600초(10분) 동안 입력이 없는 경우 접속된 Session을 끊도록 설정</t>
    <phoneticPr fontId="1" type="noConversion"/>
  </si>
  <si>
    <t>SHA-2 이상의 안전한 비밀번호 암호화 알고리즘 적용 설정</t>
    <phoneticPr fontId="1" type="noConversion"/>
  </si>
  <si>
    <t>root 계정의 환경설정 파일(/.profile, /.bashrc 등)과 시스템 환경설정파일(/etc/profile 등)에 설정된 PATH 환경변수에서 현재 디렉터리를 나타내는 "." 을 PATH 환경변수의 마지막으로 이동하도록 설정</t>
    <phoneticPr fontId="1" type="noConversion"/>
  </si>
  <si>
    <t>소유자가 존재하지 않는 파일 및 디렉터리 제거 또는 소유자 변경 설정</t>
    <phoneticPr fontId="1" type="noConversion"/>
  </si>
  <si>
    <t>/etc/passwd 파일 소유자 및 권한 변경 설정</t>
    <phoneticPr fontId="1" type="noConversion"/>
  </si>
  <si>
    <t>시스템 시작 스크립트 파일 소유자 및 권한 변경 설정</t>
    <phoneticPr fontId="1" type="noConversion"/>
  </si>
  <si>
    <t>/etc/shadow 파일 소유자 및 권한 변경 설정</t>
    <phoneticPr fontId="1" type="noConversion"/>
  </si>
  <si>
    <t>/etc/hosts 파일 소유자 및 권한 변경 설정</t>
    <phoneticPr fontId="1" type="noConversion"/>
  </si>
  <si>
    <t>/etc/(x)inetd.conf 파일 소유자 및 권한 변경 설정</t>
    <phoneticPr fontId="1" type="noConversion"/>
  </si>
  <si>
    <t>/etc/(r)syslog.conf 파일 소유자 및 권한 변경 설정</t>
    <phoneticPr fontId="1" type="noConversion"/>
  </si>
  <si>
    <t>/etc/services 파일 소유자 및 권한 변경 설정</t>
    <phoneticPr fontId="1" type="noConversion"/>
  </si>
  <si>
    <t>불피요한 SUID, SGID 권한 또는 해당 파일 제거하도록 설정
애플리케이션에서 생성한 파일이나 사용자가 임의로 생성한 파일 등 의심스럽거나 특이한 파일에 SUID 권한이 부여된 경우 제거하도록 설정</t>
    <phoneticPr fontId="1" type="noConversion"/>
  </si>
  <si>
    <t>환경변수 파일의 일반 사용자 쓰기 권한 제거하도록 설정</t>
    <phoneticPr fontId="1" type="noConversion"/>
  </si>
  <si>
    <t>world writable 파일 존재 여부를 확인하고 불필요한 경우 제거하도록 설정</t>
    <phoneticPr fontId="1" type="noConversion"/>
  </si>
  <si>
    <t>major, minor number를 가지지 않는 device 파일 제거하도록 설정</t>
    <phoneticPr fontId="1" type="noConversion"/>
  </si>
  <si>
    <t>/etc/hosts.equiv, $HOME/.rhost 파일 소유자 및 권한 변경, 허용 호스트 및 계정 등록 설정</t>
    <phoneticPr fontId="1" type="noConversion"/>
  </si>
  <si>
    <t>OS에 기본으로 제공하는 방화벽 애플리케이션이나 TCP Wrapper와 같은 호스트별 서비스 제한 애플리케이션을 사용하여 접근 허용 IP 등록 설정</t>
    <phoneticPr fontId="1" type="noConversion"/>
  </si>
  <si>
    <t>/etc/hosts.lpd 파일 제거 또는 /etc/hosts.lpd 파일 소유자 및 권한 변경 설정</t>
    <phoneticPr fontId="1" type="noConversion"/>
  </si>
  <si>
    <t>설정 파일에 UMASK 값을 022로 설정</t>
    <phoneticPr fontId="1" type="noConversion"/>
  </si>
  <si>
    <t>사용자별 홈 디렉토리 소유주를 해당 계정으로 변경하고, 타 사용자의 쓰기 권한 제거하도록 설정
(/etc/passwd 파일에서 홈 디렉토리 확인, 사용자 홈 디렉토리 외 개별적으로 만들어 사용하는 사용자 디렉토리 존재 여부 확인하여 점검)</t>
    <phoneticPr fontId="1" type="noConversion"/>
  </si>
  <si>
    <t>홈 디렉토리가 존재하지 않는 계정에 홈 디렉토리 설정 또는 계정 제거하도록 설정</t>
    <phoneticPr fontId="1" type="noConversion"/>
  </si>
  <si>
    <t>ls -al 명령어로 숨겨진 파일 존재 파악 후 불법적이거나 의심스러운 파일을 제거하도록 설정</t>
    <phoneticPr fontId="1" type="noConversion"/>
  </si>
  <si>
    <t>Finger 서비스 비활성화 설정</t>
    <phoneticPr fontId="1" type="noConversion"/>
  </si>
  <si>
    <t>공유 서비스의 익명 접근 제한 설정</t>
    <phoneticPr fontId="1" type="noConversion"/>
  </si>
  <si>
    <t>불필요한 r 계열 서비스 중지 및 비활성화 설정</t>
    <phoneticPr fontId="1" type="noConversion"/>
  </si>
  <si>
    <t>crontab 및 at 명령어 파일 권한 750 이하, cron 및 at 관련 소유자 및 파일 권한 640 이하 설정</t>
    <phoneticPr fontId="1" type="noConversion"/>
  </si>
  <si>
    <t>echo, discard, daytime, chargen, ntp, dns, snmp 등의 서비스 비활성화 설정</t>
    <phoneticPr fontId="1" type="noConversion"/>
  </si>
  <si>
    <t>NFS 서비스를 사용하지 않는 경우 서비스 중지 및 비활성화 설정</t>
    <phoneticPr fontId="1" type="noConversion"/>
  </si>
  <si>
    <t>NFS 서비스를 사용하지 않는 경우 서비스 중지 및 비활성화 설정
불가피하게 사용 시 접근 통제 설정 및 NFS 설정 파일 접근 권한 644 설정</t>
    <phoneticPr fontId="1" type="noConversion"/>
  </si>
  <si>
    <t>automountd 서비스 비활성화 설정</t>
    <phoneticPr fontId="1" type="noConversion"/>
  </si>
  <si>
    <t>불필요한 RPC 서비스 중지 및 비활성화 설정</t>
    <phoneticPr fontId="1" type="noConversion"/>
  </si>
  <si>
    <t>NIS 관련 서비스 비활성화 설정</t>
    <phoneticPr fontId="1" type="noConversion"/>
  </si>
  <si>
    <t>불필요한 tftp, talk, ntalk 서비스 비활성화 설정</t>
    <phoneticPr fontId="1" type="noConversion"/>
  </si>
  <si>
    <t>메일 서비스를 사용하지 않는 경우 서비스 중지 및 비활성화 설정
메일 서비스 사용 시 패치 관리 정책을 수립하여 주기적으로 패치 적용 설정</t>
    <phoneticPr fontId="1" type="noConversion"/>
  </si>
  <si>
    <t>메일 서비스를 사용하지 않는 경우 서비스 중지 및 비활성화 설정
메일 서비스 사용 시 메일 서비스의 q 옵션 제한 설정</t>
    <phoneticPr fontId="1" type="noConversion"/>
  </si>
  <si>
    <t>메일 서비스를 사용하지 않는 경우 서비스 중지 및 비활성화 설정
메일 서비스 사용 시 릴레이 방지 설정 또는 릴레이 대상 접근 제어 설정</t>
    <phoneticPr fontId="1" type="noConversion"/>
  </si>
  <si>
    <t>메일 서비스를 사용하지 않는 경우 서비스 중지 및 비활성화 설정
메일 서비스 사용 시 메일 서비스 설정 파일에 noexpn, novrfy 또는 goaway 옵션 추가 설정</t>
    <phoneticPr fontId="1" type="noConversion"/>
  </si>
  <si>
    <t>DNS 서비스를 사용하지 않는 경우 서비스 중지 및 비활성화 설정
DNS 서비스 사용 시 패치 관리 정책 수립 및 주기적으로 패치 적용 설정</t>
    <phoneticPr fontId="1" type="noConversion"/>
  </si>
  <si>
    <t>DNS 서비스를 사용하지 않는 경우 서비스 중지 및 비활성화 설정
DNs 서비스 사용 시 DNS Zone Transfer를 허가된 사용자에게만 전송 허용하도록 설정</t>
    <phoneticPr fontId="1" type="noConversion"/>
  </si>
  <si>
    <t>DNS 서비스를 사용하지 않는 경우 서비스 중지 및 비활성화 설정
DNS 서비스 사용 시 일반적으로 동적 업데이트 기능이 필요 없으니 확인 필요함</t>
    <phoneticPr fontId="1" type="noConversion"/>
  </si>
  <si>
    <t>Telnet, FTP 등 안전하지 않은 서비스 사용을 중지하고 SSH 설치 및 사용하도록 설정</t>
    <phoneticPr fontId="1" type="noConversion"/>
  </si>
  <si>
    <t>FTP 서비스를 사용하지 않는 경우 서비스 중지 및 비활성화 설정
FTP 서비스 사용 시 FTP 설정 파일을 통해 접속 배너 설정</t>
    <phoneticPr fontId="1" type="noConversion"/>
  </si>
  <si>
    <t>암호화되지 않은 FTP 서비스 중지 및 비활성화 설정</t>
    <phoneticPr fontId="1" type="noConversion"/>
  </si>
  <si>
    <t>FTP 서비스를 사용하지 않는 경우 서비스 중지 및 비활성화 설정
FTP 서비스 사용 시 FTP 계정에 /bin/false 쉘 부여 설정</t>
    <phoneticPr fontId="1" type="noConversion"/>
  </si>
  <si>
    <t>FTP 서비스를 사용하지 않는 경우 서비스 중지 및 비활성화 설정
FTP 서비스 사용 시 접근 제어 설정</t>
    <phoneticPr fontId="1" type="noConversion"/>
  </si>
  <si>
    <t>FTP 서비스를 사용하지 않는 경우 서비스 중지 및 비활성화 설정
FTP 서비스 사용 시 root 계정으로 직접 접속할 수 없도록 설정</t>
    <phoneticPr fontId="1" type="noConversion"/>
  </si>
  <si>
    <t>SNMP 서비스를 사용하지 않는 경우 서비스 중지 및 비활성화 설정</t>
    <phoneticPr fontId="1" type="noConversion"/>
  </si>
  <si>
    <t>SNMP 서비스를 사용하지 않는 경우 서비스 중지 및 비활성화 설정
SNMP 서비스 사용 시 SNMP 버전을 v3 이상으로 적용하도록 설정</t>
    <phoneticPr fontId="1" type="noConversion"/>
  </si>
  <si>
    <t>SNMP 서비스를 사용하지 않는 경우 서비스 중지 및 비활성화 설정
SNMP 서비스 사용 시 SNMP Community String 기본값인 "public", "private"이 아닌 영문자, 숫자 포함 10자리 이상 또는 영문자, 숫자, 특수문자 포함 8자리 이상으로 설정</t>
    <phoneticPr fontId="1" type="noConversion"/>
  </si>
  <si>
    <t>SNMP 서비스를 사용하지 않는 경우 서비스 중지 및 비활성화 설정
SNMP 서비스 사용 시 SNMP 접근 제어 설정하도록 설정</t>
    <phoneticPr fontId="1" type="noConversion"/>
  </si>
  <si>
    <t>Telnet, FTP, SMTP, DNS 서비스를 사용하는 경우 설정 파일을 통해 로그온 시 경고 메시지 설정</t>
    <phoneticPr fontId="1" type="noConversion"/>
  </si>
  <si>
    <t>/etc/sudoers 파일 소유자 및 권한 변경 설정</t>
    <phoneticPr fontId="1" type="noConversion"/>
  </si>
  <si>
    <t>OS 관리자, 서비스 개발자가 패치 적용에 따른 서비스 영향 정도를 파악하여 OS 관리자 및 벤더에서 적용하도록 설정</t>
    <phoneticPr fontId="1" type="noConversion"/>
  </si>
  <si>
    <t>NTP 설정 및 동기화 주기 설정</t>
    <phoneticPr fontId="1" type="noConversion"/>
  </si>
  <si>
    <t>로그 기록 정책을 수립하고, 정책에 따라 (r)syslog.conf 파일을 설정</t>
    <phoneticPr fontId="1" type="noConversion"/>
  </si>
  <si>
    <t>디렉토리 내 로그 파일 소유자 및 권한 변경 설정</t>
    <phoneticPr fontId="1" type="noConversion"/>
  </si>
  <si>
    <t>대응방안</t>
    <phoneticPr fontId="1" type="noConversion"/>
  </si>
  <si>
    <t>담당자의견</t>
    <phoneticPr fontId="1" type="noConversion"/>
  </si>
  <si>
    <t>이행점검</t>
    <phoneticPr fontId="1" type="noConversion"/>
  </si>
  <si>
    <t>Ⅳ. 보안점검 결과 전체</t>
    <phoneticPr fontId="1" type="noConversion"/>
  </si>
  <si>
    <t>Ⅵ. 취약점 상세 현황</t>
    <phoneticPr fontId="1" type="noConversion"/>
  </si>
  <si>
    <t>Ⅴ. 이행점검 결과 전체</t>
    <phoneticPr fontId="1" type="noConversion"/>
  </si>
  <si>
    <t>업체명</t>
    <phoneticPr fontId="1" type="noConversion"/>
  </si>
  <si>
    <t>주요정보통신기반시설
서버(LINUX/UNIX) 이행점검</t>
    <phoneticPr fontId="1" type="noConversion"/>
  </si>
  <si>
    <t>주요정보통신기반시설
서버(LINUX/UNIX) 이행점검 상세 결과보고서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</si>
</sst>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ajor"/>
    </font>
    <font>
      <b/>
      <sz val="13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돋움"/>
      <family val="3"/>
      <charset val="129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000000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sz val="9"/>
      <color theme="1"/>
      <name val="맑은 고딕"/>
      <family val="3"/>
      <charset val="129"/>
    </font>
    <font>
      <b/>
      <sz val="8"/>
      <color theme="0"/>
      <name val="맑은 고딕"/>
      <family val="3"/>
      <charset val="129"/>
      <scheme val="major"/>
    </font>
    <font>
      <b/>
      <sz val="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8"/>
      <color theme="1"/>
      <name val="맑은 고딕"/>
      <family val="3"/>
      <charset val="129"/>
    </font>
    <font>
      <sz val="28"/>
      <color theme="1"/>
      <name val="HY헤드라인M"/>
      <family val="1"/>
      <charset val="129"/>
    </font>
    <font>
      <sz val="26"/>
      <color theme="1"/>
      <name val="HY헤드라인M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>
      <alignment vertical="center"/>
    </xf>
    <xf numFmtId="9" fontId="16" fillId="0" borderId="0" applyFont="0" applyFill="0" applyBorder="0" applyAlignment="0" applyProtection="0">
      <alignment vertical="center"/>
    </xf>
    <xf numFmtId="0" fontId="29" fillId="0" borderId="0"/>
  </cellStyleXfs>
  <cellXfs count="16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2" fillId="4" borderId="4" xfId="0" applyFont="1" applyFill="1" applyBorder="1" applyAlignment="1">
      <alignment horizontal="left" vertical="center" wrapText="1" indent="1"/>
    </xf>
    <xf numFmtId="0" fontId="17" fillId="2" borderId="0" xfId="0" applyFont="1" applyFill="1">
      <alignment vertical="center"/>
    </xf>
    <xf numFmtId="0" fontId="18" fillId="2" borderId="0" xfId="0" applyFont="1" applyFill="1">
      <alignment vertical="center"/>
    </xf>
    <xf numFmtId="0" fontId="12" fillId="4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15" fillId="4" borderId="5" xfId="0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center" vertical="center" wrapText="1"/>
    </xf>
    <xf numFmtId="0" fontId="14" fillId="5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left" vertical="center" wrapText="1"/>
    </xf>
    <xf numFmtId="0" fontId="4" fillId="2" borderId="6" xfId="0" quotePrefix="1" applyFont="1" applyFill="1" applyBorder="1" applyAlignment="1">
      <alignment horizontal="left" vertical="center" wrapText="1"/>
    </xf>
    <xf numFmtId="0" fontId="4" fillId="0" borderId="6" xfId="0" quotePrefix="1" applyFont="1" applyBorder="1" applyAlignment="1">
      <alignment horizontal="left" vertical="center" wrapText="1"/>
    </xf>
    <xf numFmtId="0" fontId="15" fillId="0" borderId="8" xfId="0" applyFont="1" applyBorder="1" applyAlignment="1">
      <alignment horizontal="center" vertical="center"/>
    </xf>
    <xf numFmtId="0" fontId="6" fillId="0" borderId="8" xfId="0" applyFont="1" applyBorder="1">
      <alignment vertical="center"/>
    </xf>
    <xf numFmtId="9" fontId="15" fillId="0" borderId="8" xfId="1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17" fillId="0" borderId="4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19" fillId="0" borderId="11" xfId="0" applyFont="1" applyBorder="1">
      <alignment vertical="center"/>
    </xf>
    <xf numFmtId="0" fontId="19" fillId="0" borderId="0" xfId="0" applyFont="1">
      <alignment vertical="center"/>
    </xf>
    <xf numFmtId="0" fontId="23" fillId="2" borderId="17" xfId="0" applyFont="1" applyFill="1" applyBorder="1">
      <alignment vertical="center"/>
    </xf>
    <xf numFmtId="0" fontId="19" fillId="2" borderId="17" xfId="0" applyFont="1" applyFill="1" applyBorder="1">
      <alignment vertical="center"/>
    </xf>
    <xf numFmtId="0" fontId="19" fillId="0" borderId="18" xfId="0" applyFont="1" applyBorder="1">
      <alignment vertical="center"/>
    </xf>
    <xf numFmtId="0" fontId="19" fillId="0" borderId="19" xfId="0" applyFont="1" applyBorder="1">
      <alignment vertical="center"/>
    </xf>
    <xf numFmtId="0" fontId="19" fillId="2" borderId="0" xfId="0" applyFont="1" applyFill="1">
      <alignment vertical="center"/>
    </xf>
    <xf numFmtId="0" fontId="19" fillId="2" borderId="16" xfId="0" applyFont="1" applyFill="1" applyBorder="1">
      <alignment vertical="center"/>
    </xf>
    <xf numFmtId="0" fontId="19" fillId="0" borderId="15" xfId="0" applyFont="1" applyBorder="1">
      <alignment vertical="center"/>
    </xf>
    <xf numFmtId="0" fontId="21" fillId="2" borderId="0" xfId="0" applyFont="1" applyFill="1">
      <alignment vertical="center"/>
    </xf>
    <xf numFmtId="0" fontId="21" fillId="2" borderId="15" xfId="0" applyFont="1" applyFill="1" applyBorder="1">
      <alignment vertical="center"/>
    </xf>
    <xf numFmtId="0" fontId="22" fillId="2" borderId="0" xfId="0" applyFont="1" applyFill="1">
      <alignment vertical="center"/>
    </xf>
    <xf numFmtId="0" fontId="23" fillId="2" borderId="0" xfId="0" applyFont="1" applyFill="1">
      <alignment vertical="center"/>
    </xf>
    <xf numFmtId="0" fontId="23" fillId="2" borderId="0" xfId="0" applyFont="1" applyFill="1" applyAlignment="1">
      <alignment horizontal="center" vertical="center"/>
    </xf>
    <xf numFmtId="0" fontId="23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23" fillId="2" borderId="0" xfId="0" applyFont="1" applyFill="1" applyAlignment="1">
      <alignment horizontal="left" vertical="center" wrapText="1"/>
    </xf>
    <xf numFmtId="0" fontId="19" fillId="2" borderId="15" xfId="0" applyFont="1" applyFill="1" applyBorder="1">
      <alignment vertical="center"/>
    </xf>
    <xf numFmtId="0" fontId="22" fillId="2" borderId="0" xfId="0" applyFont="1" applyFill="1" applyAlignment="1">
      <alignment horizontal="left" vertical="center" indent="1"/>
    </xf>
    <xf numFmtId="0" fontId="26" fillId="2" borderId="0" xfId="0" applyFont="1" applyFill="1" applyAlignment="1">
      <alignment vertical="center" wrapText="1"/>
    </xf>
    <xf numFmtId="0" fontId="24" fillId="2" borderId="0" xfId="0" applyFont="1" applyFill="1">
      <alignment vertical="center"/>
    </xf>
    <xf numFmtId="0" fontId="23" fillId="2" borderId="9" xfId="0" applyFont="1" applyFill="1" applyBorder="1">
      <alignment vertical="center"/>
    </xf>
    <xf numFmtId="0" fontId="19" fillId="2" borderId="10" xfId="0" applyFont="1" applyFill="1" applyBorder="1">
      <alignment vertical="center"/>
    </xf>
    <xf numFmtId="0" fontId="0" fillId="0" borderId="11" xfId="0" applyBorder="1">
      <alignment vertical="center"/>
    </xf>
    <xf numFmtId="0" fontId="28" fillId="2" borderId="0" xfId="0" applyFont="1" applyFill="1">
      <alignment vertical="center"/>
    </xf>
    <xf numFmtId="0" fontId="0" fillId="0" borderId="11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8" borderId="4" xfId="0" applyFont="1" applyFill="1" applyBorder="1" applyAlignment="1">
      <alignment horizontal="center" vertical="center"/>
    </xf>
    <xf numFmtId="0" fontId="30" fillId="2" borderId="0" xfId="0" applyFont="1" applyFill="1">
      <alignment vertical="center"/>
    </xf>
    <xf numFmtId="0" fontId="30" fillId="2" borderId="0" xfId="0" applyFont="1" applyFill="1" applyAlignment="1">
      <alignment horizontal="center" vertical="center"/>
    </xf>
    <xf numFmtId="0" fontId="20" fillId="0" borderId="20" xfId="0" applyFont="1" applyBorder="1">
      <alignment vertical="center"/>
    </xf>
    <xf numFmtId="0" fontId="30" fillId="0" borderId="0" xfId="0" applyFont="1">
      <alignment vertical="center"/>
    </xf>
    <xf numFmtId="0" fontId="30" fillId="0" borderId="20" xfId="0" applyFont="1" applyBorder="1">
      <alignment vertical="center"/>
    </xf>
    <xf numFmtId="0" fontId="30" fillId="0" borderId="20" xfId="0" applyFont="1" applyBorder="1" applyAlignment="1">
      <alignment horizontal="center" vertical="center"/>
    </xf>
    <xf numFmtId="0" fontId="30" fillId="0" borderId="21" xfId="0" applyFont="1" applyBorder="1">
      <alignment vertical="center"/>
    </xf>
    <xf numFmtId="0" fontId="19" fillId="0" borderId="22" xfId="0" applyFont="1" applyBorder="1">
      <alignment vertical="center"/>
    </xf>
    <xf numFmtId="0" fontId="19" fillId="0" borderId="22" xfId="0" applyFont="1" applyBorder="1" applyAlignment="1">
      <alignment horizontal="center" vertical="center"/>
    </xf>
    <xf numFmtId="0" fontId="30" fillId="0" borderId="23" xfId="0" applyFont="1" applyBorder="1">
      <alignment vertical="center"/>
    </xf>
    <xf numFmtId="0" fontId="31" fillId="9" borderId="4" xfId="0" applyFont="1" applyFill="1" applyBorder="1" applyAlignment="1">
      <alignment horizontal="center" vertical="center" wrapText="1"/>
    </xf>
    <xf numFmtId="0" fontId="31" fillId="9" borderId="3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0" fontId="32" fillId="4" borderId="5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2" fillId="4" borderId="4" xfId="0" applyFont="1" applyFill="1" applyBorder="1" applyAlignment="1">
      <alignment horizontal="left" vertical="center" wrapText="1" indent="1"/>
    </xf>
    <xf numFmtId="0" fontId="32" fillId="4" borderId="4" xfId="0" applyFont="1" applyFill="1" applyBorder="1" applyAlignment="1">
      <alignment horizontal="center" vertical="center" wrapText="1"/>
    </xf>
    <xf numFmtId="0" fontId="32" fillId="4" borderId="6" xfId="0" applyFont="1" applyFill="1" applyBorder="1">
      <alignment vertical="center"/>
    </xf>
    <xf numFmtId="0" fontId="32" fillId="4" borderId="7" xfId="0" applyFont="1" applyFill="1" applyBorder="1">
      <alignment vertical="center"/>
    </xf>
    <xf numFmtId="0" fontId="32" fillId="4" borderId="4" xfId="0" applyFont="1" applyFill="1" applyBorder="1">
      <alignment vertical="center"/>
    </xf>
    <xf numFmtId="0" fontId="32" fillId="4" borderId="5" xfId="0" applyFont="1" applyFill="1" applyBorder="1">
      <alignment vertical="center"/>
    </xf>
    <xf numFmtId="0" fontId="33" fillId="0" borderId="5" xfId="0" applyFont="1" applyBorder="1" applyAlignment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3" fillId="0" borderId="7" xfId="0" applyFont="1" applyBorder="1" applyAlignment="1">
      <alignment horizontal="center" vertical="center"/>
    </xf>
    <xf numFmtId="0" fontId="33" fillId="0" borderId="4" xfId="0" applyFont="1" applyBorder="1" applyAlignment="1">
      <alignment horizontal="center" vertical="center"/>
    </xf>
    <xf numFmtId="0" fontId="30" fillId="8" borderId="4" xfId="0" applyFont="1" applyFill="1" applyBorder="1" applyAlignment="1">
      <alignment horizontal="center" vertical="center"/>
    </xf>
    <xf numFmtId="0" fontId="34" fillId="0" borderId="0" xfId="0" applyFont="1">
      <alignment vertical="center"/>
    </xf>
    <xf numFmtId="0" fontId="35" fillId="0" borderId="4" xfId="0" applyFont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5" fillId="0" borderId="24" xfId="0" applyFont="1" applyBorder="1" applyAlignment="1">
      <alignment horizontal="center" vertical="center" wrapText="1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2" borderId="7" xfId="0" applyFont="1" applyFill="1" applyBorder="1">
      <alignment vertical="center"/>
    </xf>
    <xf numFmtId="0" fontId="4" fillId="2" borderId="4" xfId="0" applyFont="1" applyFill="1" applyBorder="1">
      <alignment vertical="center"/>
    </xf>
    <xf numFmtId="0" fontId="4" fillId="2" borderId="8" xfId="0" applyFont="1" applyFill="1" applyBorder="1">
      <alignment vertical="center"/>
    </xf>
    <xf numFmtId="0" fontId="4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4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4" borderId="5" xfId="0" applyFont="1" applyFill="1" applyBorder="1" applyAlignment="1">
      <alignment horizontal="left" vertical="center" indent="1"/>
    </xf>
    <xf numFmtId="0" fontId="12" fillId="4" borderId="6" xfId="0" applyFont="1" applyFill="1" applyBorder="1" applyAlignment="1">
      <alignment horizontal="left" vertical="center" indent="1"/>
    </xf>
    <xf numFmtId="0" fontId="12" fillId="4" borderId="7" xfId="0" applyFont="1" applyFill="1" applyBorder="1" applyAlignment="1">
      <alignment horizontal="left" vertical="center" indent="1"/>
    </xf>
    <xf numFmtId="0" fontId="12" fillId="4" borderId="4" xfId="0" applyFont="1" applyFill="1" applyBorder="1" applyAlignment="1">
      <alignment horizontal="left" vertical="center" indent="1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27" fillId="7" borderId="4" xfId="0" applyFont="1" applyFill="1" applyBorder="1" applyAlignment="1">
      <alignment horizontal="center" vertical="center" wrapText="1"/>
    </xf>
    <xf numFmtId="0" fontId="26" fillId="0" borderId="4" xfId="0" applyFont="1" applyBorder="1" applyAlignment="1">
      <alignment horizontal="center" vertical="center" wrapText="1"/>
    </xf>
    <xf numFmtId="0" fontId="27" fillId="8" borderId="4" xfId="0" applyFont="1" applyFill="1" applyBorder="1" applyAlignment="1">
      <alignment horizontal="center" vertical="center" wrapText="1"/>
    </xf>
    <xf numFmtId="0" fontId="20" fillId="2" borderId="15" xfId="0" applyFont="1" applyFill="1" applyBorder="1" applyAlignment="1">
      <alignment horizontal="left" vertical="center" wrapText="1"/>
    </xf>
    <xf numFmtId="0" fontId="20" fillId="2" borderId="0" xfId="0" applyFont="1" applyFill="1" applyAlignment="1">
      <alignment horizontal="left" vertical="center" wrapText="1"/>
    </xf>
    <xf numFmtId="0" fontId="24" fillId="2" borderId="0" xfId="0" applyFont="1" applyFill="1" applyAlignment="1">
      <alignment horizontal="left" vertical="center" wrapText="1"/>
    </xf>
    <xf numFmtId="0" fontId="26" fillId="2" borderId="0" xfId="0" applyFont="1" applyFill="1" applyAlignment="1">
      <alignment horizontal="left" vertical="center" wrapText="1"/>
    </xf>
    <xf numFmtId="0" fontId="27" fillId="6" borderId="4" xfId="0" applyFont="1" applyFill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14" xfId="0" applyFont="1" applyBorder="1" applyAlignment="1">
      <alignment horizontal="center" vertical="center" wrapText="1"/>
    </xf>
    <xf numFmtId="0" fontId="26" fillId="0" borderId="1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6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32" fillId="4" borderId="5" xfId="0" applyFont="1" applyFill="1" applyBorder="1" applyAlignment="1">
      <alignment horizontal="center" vertical="center" wrapText="1"/>
    </xf>
    <xf numFmtId="0" fontId="32" fillId="4" borderId="6" xfId="0" applyFont="1" applyFill="1" applyBorder="1" applyAlignment="1">
      <alignment horizontal="center" vertical="center" wrapText="1"/>
    </xf>
    <xf numFmtId="0" fontId="32" fillId="4" borderId="7" xfId="0" applyFont="1" applyFill="1" applyBorder="1" applyAlignment="1">
      <alignment horizontal="center" vertical="center" wrapText="1"/>
    </xf>
    <xf numFmtId="0" fontId="36" fillId="2" borderId="0" xfId="0" applyFont="1" applyFill="1" applyAlignment="1">
      <alignment horizontal="right" vertical="center"/>
    </xf>
    <xf numFmtId="49" fontId="21" fillId="2" borderId="0" xfId="0" applyNumberFormat="1" applyFont="1" applyFill="1">
      <alignment vertical="center"/>
    </xf>
    <xf numFmtId="0" fontId="37" fillId="2" borderId="0" xfId="0" applyFont="1" applyFill="1" applyAlignment="1">
      <alignment horizontal="right" vertical="center" wrapText="1"/>
    </xf>
    <xf numFmtId="0" fontId="37" fillId="2" borderId="0" xfId="0" applyFont="1" applyFill="1" applyAlignment="1">
      <alignment horizontal="right" vertical="center"/>
    </xf>
  </cellXfs>
  <cellStyles count="3">
    <cellStyle name="백분율" xfId="1" builtinId="5"/>
    <cellStyle name="표준" xfId="0" builtinId="0"/>
    <cellStyle name="표준 2" xfId="2" xr:uid="{0BB00005-C7C3-48DA-AE76-B0A9753BB8DF}"/>
  </cellStyles>
  <dxfs count="18"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</dxf>
    <dxf>
      <font>
        <color theme="3" tint="0.24994659260841701"/>
      </font>
    </dxf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  <fill>
        <patternFill>
          <bgColor rgb="FFFFC7CE"/>
        </patternFill>
      </fill>
    </dxf>
    <dxf>
      <fill>
        <patternFill>
          <bgColor rgb="FFD0D0D0"/>
        </patternFill>
      </fill>
    </dxf>
    <dxf>
      <font>
        <color rgb="FF215C98"/>
      </font>
      <fill>
        <patternFill>
          <bgColor rgb="FFDAE9F8"/>
        </patternFill>
      </fill>
    </dxf>
    <dxf>
      <font>
        <color theme="1"/>
      </font>
      <fill>
        <patternFill>
          <bgColor rgb="FFFFC7CE"/>
        </patternFill>
      </fill>
    </dxf>
    <dxf>
      <fill>
        <patternFill>
          <bgColor theme="3" tint="0.89996032593768116"/>
        </patternFill>
      </fill>
    </dxf>
    <dxf>
      <fill>
        <patternFill>
          <bgColor theme="2" tint="-9.9948118533890809E-2"/>
        </patternFill>
      </fill>
    </dxf>
    <dxf>
      <font>
        <color rgb="FFFF2F39"/>
      </font>
      <fill>
        <patternFill>
          <bgColor rgb="FFFFC7CE"/>
        </patternFill>
      </fill>
    </dxf>
    <dxf>
      <fill>
        <patternFill>
          <bgColor rgb="FFD0D0D0"/>
        </patternFill>
      </fill>
    </dxf>
    <dxf>
      <font>
        <color rgb="FF215C98"/>
      </font>
      <fill>
        <patternFill>
          <bgColor rgb="FFDAE9F8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2F39"/>
      <color rgb="FF215C98"/>
      <color rgb="FFDAE9F8"/>
      <color rgb="FFD0D0D0"/>
      <color rgb="FFFFC7CE"/>
      <color rgb="FF61ACFF"/>
      <color rgb="FF9C000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403412</xdr:colOff>
      <xdr:row>9</xdr:row>
      <xdr:rowOff>156882</xdr:rowOff>
    </xdr:from>
    <xdr:to>
      <xdr:col>7</xdr:col>
      <xdr:colOff>493060</xdr:colOff>
      <xdr:row>15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87A5B63-7AB8-40A2-870E-538EEEF333F8}"/>
            </a:ext>
          </a:extLst>
        </xdr:cNvPr>
        <xdr:cNvSpPr/>
      </xdr:nvSpPr>
      <xdr:spPr>
        <a:xfrm>
          <a:off x="1089212" y="2042832"/>
          <a:ext cx="4204448" cy="1100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560294</xdr:colOff>
      <xdr:row>9</xdr:row>
      <xdr:rowOff>33618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783A9B-F6FD-4BA6-A4DA-D52243C894B9}"/>
            </a:ext>
          </a:extLst>
        </xdr:cNvPr>
        <xdr:cNvSpPr txBox="1"/>
      </xdr:nvSpPr>
      <xdr:spPr>
        <a:xfrm>
          <a:off x="2617694" y="1919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1</xdr:col>
      <xdr:colOff>403412</xdr:colOff>
      <xdr:row>9</xdr:row>
      <xdr:rowOff>156882</xdr:rowOff>
    </xdr:from>
    <xdr:to>
      <xdr:col>7</xdr:col>
      <xdr:colOff>493060</xdr:colOff>
      <xdr:row>15</xdr:row>
      <xdr:rowOff>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71110A5-210C-46D2-A41E-EE6698095E09}"/>
            </a:ext>
          </a:extLst>
        </xdr:cNvPr>
        <xdr:cNvSpPr/>
      </xdr:nvSpPr>
      <xdr:spPr>
        <a:xfrm>
          <a:off x="1089212" y="2042832"/>
          <a:ext cx="4204448" cy="110041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3</xdr:col>
      <xdr:colOff>560294</xdr:colOff>
      <xdr:row>9</xdr:row>
      <xdr:rowOff>33618</xdr:rowOff>
    </xdr:from>
    <xdr:ext cx="18473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48C39C4-26DC-4E52-9F77-57EF18E3868D}"/>
            </a:ext>
          </a:extLst>
        </xdr:cNvPr>
        <xdr:cNvSpPr txBox="1"/>
      </xdr:nvSpPr>
      <xdr:spPr>
        <a:xfrm>
          <a:off x="2617694" y="1919568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ko-KR" altLang="en-US" sz="1100"/>
        </a:p>
      </xdr:txBody>
    </xdr:sp>
    <xdr:clientData/>
  </xdr:oneCellAnchor>
  <xdr:twoCellAnchor>
    <xdr:from>
      <xdr:col>9</xdr:col>
      <xdr:colOff>632460</xdr:colOff>
      <xdr:row>16</xdr:row>
      <xdr:rowOff>9525</xdr:rowOff>
    </xdr:from>
    <xdr:to>
      <xdr:col>13</xdr:col>
      <xdr:colOff>666748</xdr:colOff>
      <xdr:row>19</xdr:row>
      <xdr:rowOff>142875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8FEF84A-C56E-42EE-9E2E-35ECEF2CE9CF}"/>
            </a:ext>
          </a:extLst>
        </xdr:cNvPr>
        <xdr:cNvSpPr txBox="1"/>
      </xdr:nvSpPr>
      <xdr:spPr>
        <a:xfrm>
          <a:off x="6804660" y="3362325"/>
          <a:ext cx="2777488" cy="762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400" b="1">
              <a:latin typeface="+mj-ea"/>
              <a:ea typeface="+mj-ea"/>
            </a:rPr>
            <a:t>작성일 </a:t>
          </a:r>
          <a:r>
            <a:rPr lang="en-US" altLang="ko-KR" sz="1400" b="1">
              <a:latin typeface="+mj-ea"/>
              <a:ea typeface="+mj-ea"/>
            </a:rPr>
            <a:t>: 0000.00.00.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o-KR" altLang="ko-KR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작성자 </a:t>
          </a:r>
          <a:r>
            <a:rPr lang="en-US" altLang="ko-KR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: </a:t>
          </a:r>
          <a:r>
            <a:rPr lang="ko-KR" altLang="en-US" sz="1400" b="1">
              <a:solidFill>
                <a:schemeClr val="dk1"/>
              </a:solidFill>
              <a:effectLst/>
              <a:latin typeface="+mj-ea"/>
              <a:ea typeface="+mj-ea"/>
              <a:cs typeface="+mn-cs"/>
            </a:rPr>
            <a:t>○</a:t>
          </a:r>
          <a:r>
            <a:rPr lang="ko-KR" altLang="ko-KR" sz="14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○○</a:t>
          </a:r>
          <a:endParaRPr lang="ko-KR" altLang="ko-KR" sz="1400" b="1">
            <a:effectLst/>
            <a:latin typeface="+mj-ea"/>
            <a:ea typeface="+mj-ea"/>
          </a:endParaRPr>
        </a:p>
      </xdr:txBody>
    </xdr:sp>
    <xdr:clientData/>
  </xdr:twoCellAnchor>
  <xdr:twoCellAnchor>
    <xdr:from>
      <xdr:col>0</xdr:col>
      <xdr:colOff>28575</xdr:colOff>
      <xdr:row>0</xdr:row>
      <xdr:rowOff>19050</xdr:rowOff>
    </xdr:from>
    <xdr:to>
      <xdr:col>13</xdr:col>
      <xdr:colOff>667614</xdr:colOff>
      <xdr:row>31</xdr:row>
      <xdr:rowOff>180976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FF4419BC-454F-4B66-9147-C8E3405F972E}"/>
            </a:ext>
          </a:extLst>
        </xdr:cNvPr>
        <xdr:cNvGrpSpPr/>
      </xdr:nvGrpSpPr>
      <xdr:grpSpPr>
        <a:xfrm>
          <a:off x="28575" y="19050"/>
          <a:ext cx="9513164" cy="6559551"/>
          <a:chOff x="-209550" y="100012"/>
          <a:chExt cx="9554439" cy="6657976"/>
        </a:xfrm>
      </xdr:grpSpPr>
      <xdr:sp macro="" textlink="">
        <xdr:nvSpPr>
          <xdr:cNvPr id="10" name="직사각형 9">
            <a:extLst>
              <a:ext uri="{FF2B5EF4-FFF2-40B4-BE49-F238E27FC236}">
                <a16:creationId xmlns:a16="http://schemas.microsoft.com/office/drawing/2014/main" id="{D4FEDE78-1DFB-FDEF-8EE4-500A3B741E77}"/>
              </a:ext>
            </a:extLst>
          </xdr:cNvPr>
          <xdr:cNvSpPr/>
        </xdr:nvSpPr>
        <xdr:spPr>
          <a:xfrm>
            <a:off x="-209550" y="100012"/>
            <a:ext cx="9554439" cy="6657976"/>
          </a:xfrm>
          <a:prstGeom prst="rect">
            <a:avLst/>
          </a:prstGeom>
          <a:noFill/>
          <a:ln>
            <a:solidFill>
              <a:schemeClr val="bg1">
                <a:lumMod val="50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sp macro="" textlink="">
        <xdr:nvSpPr>
          <xdr:cNvPr id="11" name="직사각형 10">
            <a:extLst>
              <a:ext uri="{FF2B5EF4-FFF2-40B4-BE49-F238E27FC236}">
                <a16:creationId xmlns:a16="http://schemas.microsoft.com/office/drawing/2014/main" id="{E84EF4E4-FBD6-8A27-56C9-F576CD12AD19}"/>
              </a:ext>
            </a:extLst>
          </xdr:cNvPr>
          <xdr:cNvSpPr/>
        </xdr:nvSpPr>
        <xdr:spPr>
          <a:xfrm>
            <a:off x="-201214" y="1988840"/>
            <a:ext cx="9546102" cy="76346"/>
          </a:xfrm>
          <a:prstGeom prst="rect">
            <a:avLst/>
          </a:prstGeom>
          <a:gradFill>
            <a:gsLst>
              <a:gs pos="0">
                <a:srgbClr val="0082CC"/>
              </a:gs>
              <a:gs pos="100000">
                <a:srgbClr val="FE8614"/>
              </a:gs>
              <a:gs pos="67000">
                <a:srgbClr val="0082CC"/>
              </a:gs>
              <a:gs pos="88000">
                <a:srgbClr val="F54C08"/>
              </a:gs>
            </a:gsLst>
            <a:lin ang="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ko-KR"/>
            </a:defPPr>
            <a:lvl1pPr marL="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1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/>
          </a:p>
        </xdr:txBody>
      </xdr:sp>
      <xdr:grpSp>
        <xdr:nvGrpSpPr>
          <xdr:cNvPr id="12" name="그룹 11">
            <a:extLst>
              <a:ext uri="{FF2B5EF4-FFF2-40B4-BE49-F238E27FC236}">
                <a16:creationId xmlns:a16="http://schemas.microsoft.com/office/drawing/2014/main" id="{20611537-BA24-7D95-94DA-180032669698}"/>
              </a:ext>
            </a:extLst>
          </xdr:cNvPr>
          <xdr:cNvGrpSpPr/>
        </xdr:nvGrpSpPr>
        <xdr:grpSpPr>
          <a:xfrm>
            <a:off x="-192154" y="5666866"/>
            <a:ext cx="9537043" cy="493635"/>
            <a:chOff x="-6102" y="4199018"/>
            <a:chExt cx="8618357" cy="587714"/>
          </a:xfrm>
        </xdr:grpSpPr>
        <xdr:sp macro="" textlink="">
          <xdr:nvSpPr>
            <xdr:cNvPr id="13" name="직사각형 12">
              <a:extLst>
                <a:ext uri="{FF2B5EF4-FFF2-40B4-BE49-F238E27FC236}">
                  <a16:creationId xmlns:a16="http://schemas.microsoft.com/office/drawing/2014/main" id="{719925A2-B6FE-600E-7073-11FDD4F08815}"/>
                </a:ext>
              </a:extLst>
            </xdr:cNvPr>
            <xdr:cNvSpPr/>
          </xdr:nvSpPr>
          <xdr:spPr>
            <a:xfrm>
              <a:off x="-6102" y="4452353"/>
              <a:ext cx="8618357" cy="334379"/>
            </a:xfrm>
            <a:prstGeom prst="rect">
              <a:avLst/>
            </a:prstGeom>
            <a:pattFill prst="pct5">
              <a:fgClr>
                <a:srgbClr val="0071B2"/>
              </a:fgClr>
              <a:bgClr>
                <a:schemeClr val="tx2">
                  <a:lumMod val="75000"/>
                </a:schemeClr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  <xdr:sp macro="" textlink="">
          <xdr:nvSpPr>
            <xdr:cNvPr id="14" name="직사각형 13">
              <a:extLst>
                <a:ext uri="{FF2B5EF4-FFF2-40B4-BE49-F238E27FC236}">
                  <a16:creationId xmlns:a16="http://schemas.microsoft.com/office/drawing/2014/main" id="{AC479EA2-BFEC-697A-1FF0-243F6CA08CE6}"/>
                </a:ext>
              </a:extLst>
            </xdr:cNvPr>
            <xdr:cNvSpPr/>
          </xdr:nvSpPr>
          <xdr:spPr>
            <a:xfrm>
              <a:off x="-4992" y="4199018"/>
              <a:ext cx="8616953" cy="337783"/>
            </a:xfrm>
            <a:prstGeom prst="rect">
              <a:avLst/>
            </a:prstGeom>
            <a:pattFill prst="pct5">
              <a:fgClr>
                <a:srgbClr val="0071B2"/>
              </a:fgClr>
              <a:bgClr>
                <a:srgbClr val="0082CC"/>
              </a:bgClr>
            </a:patt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rtlCol="0" anchor="ctr"/>
            <a:lstStyle>
              <a:defPPr>
                <a:defRPr lang="ko-KR"/>
              </a:defPPr>
              <a:lvl1pPr marL="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1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/>
            </a:p>
          </xdr:txBody>
        </xdr:sp>
      </xdr:grpSp>
    </xdr:grpSp>
    <xdr:clientData/>
  </xdr:twoCellAnchor>
  <xdr:twoCellAnchor>
    <xdr:from>
      <xdr:col>0</xdr:col>
      <xdr:colOff>190500</xdr:colOff>
      <xdr:row>0</xdr:row>
      <xdr:rowOff>171450</xdr:rowOff>
    </xdr:from>
    <xdr:to>
      <xdr:col>1</xdr:col>
      <xdr:colOff>390525</xdr:colOff>
      <xdr:row>2</xdr:row>
      <xdr:rowOff>171450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44FA42A-CDC0-4C95-9BA5-007D3FDBB042}"/>
            </a:ext>
          </a:extLst>
        </xdr:cNvPr>
        <xdr:cNvSpPr/>
      </xdr:nvSpPr>
      <xdr:spPr>
        <a:xfrm>
          <a:off x="190500" y="171450"/>
          <a:ext cx="885825" cy="4191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72000" tIns="36000" rIns="72000" bIns="36000" rtlCol="0" anchor="ctr"/>
        <a:lstStyle/>
        <a:p>
          <a:pPr algn="ctr"/>
          <a:r>
            <a:rPr lang="ko-KR" altLang="en-US" sz="1800" b="1">
              <a:solidFill>
                <a:srgbClr val="FF0000"/>
              </a:solidFill>
            </a:rPr>
            <a:t>대외비</a:t>
          </a:r>
        </a:p>
      </xdr:txBody>
    </xdr:sp>
    <xdr:clientData/>
  </xdr:twoCellAnchor>
  <xdr:twoCellAnchor>
    <xdr:from>
      <xdr:col>0</xdr:col>
      <xdr:colOff>428625</xdr:colOff>
      <xdr:row>23</xdr:row>
      <xdr:rowOff>28575</xdr:rowOff>
    </xdr:from>
    <xdr:to>
      <xdr:col>13</xdr:col>
      <xdr:colOff>219075</xdr:colOff>
      <xdr:row>25</xdr:row>
      <xdr:rowOff>200022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4ADA0D0-AFAD-4372-B185-211F0FA16B71}"/>
            </a:ext>
          </a:extLst>
        </xdr:cNvPr>
        <xdr:cNvSpPr/>
      </xdr:nvSpPr>
      <xdr:spPr>
        <a:xfrm>
          <a:off x="428625" y="4848225"/>
          <a:ext cx="8705850" cy="59054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 rtl="0" eaLnBrk="1" fontAlgn="base" latinLnBrk="0" hangingPunct="1"/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본 보고서는 보안에 관련된 내용이 기술되어 있으므로 본 문서를 열람할 권한이 없는 자에게 공개를 제한하며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업무관련자 또한 조치완료 후 본 문서를 폐기하여야 합니다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pPr algn="ctr" rtl="0" eaLnBrk="1" fontAlgn="base" latinLnBrk="0" hangingPunct="1"/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따라서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사전 승인 없이 본 내용을 전부 또는 일부에 대한 복사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전제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배포</a:t>
          </a:r>
          <a:r>
            <a:rPr lang="en-US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900" b="1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사용 등을 금지</a:t>
          </a:r>
          <a:r>
            <a:rPr lang="ko-KR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합니다</a:t>
          </a:r>
          <a:r>
            <a:rPr lang="en-US" altLang="ko-KR" sz="90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 sz="900">
            <a:solidFill>
              <a:srgbClr val="FF0000"/>
            </a:solidFill>
            <a:effectLst/>
          </a:endParaRPr>
        </a:p>
      </xdr:txBody>
    </xdr:sp>
    <xdr:clientData/>
  </xdr:twoCellAnchor>
  <xdr:twoCellAnchor>
    <xdr:from>
      <xdr:col>5</xdr:col>
      <xdr:colOff>654050</xdr:colOff>
      <xdr:row>29</xdr:row>
      <xdr:rowOff>104775</xdr:rowOff>
    </xdr:from>
    <xdr:to>
      <xdr:col>8</xdr:col>
      <xdr:colOff>41221</xdr:colOff>
      <xdr:row>31</xdr:row>
      <xdr:rowOff>64033</xdr:rowOff>
    </xdr:to>
    <xdr:pic>
      <xdr:nvPicPr>
        <xdr:cNvPr id="23" name="_x196634128" descr="EMB000006b0253a">
          <a:extLst>
            <a:ext uri="{FF2B5EF4-FFF2-40B4-BE49-F238E27FC236}">
              <a16:creationId xmlns:a16="http://schemas.microsoft.com/office/drawing/2014/main" id="{3D38081D-EE36-4FDD-A7AC-623350F3A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89650"/>
          <a:ext cx="1435046" cy="37200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Administrator/Documents/&#52852;&#52852;&#50724;&#53665;%20&#48155;&#51008;%20&#54028;&#51068;/01_UNIX%20&#49436;&#48260;%20&#52712;&#50557;&#51216;&#51652;&#45800;%20&#49345;&#49464;&#44208;&#44284;_&#48372;&#50504;&#44288;&#51228;&#51333;&#54633;&#49884;&#49828;&#53596;.xlsm" TargetMode="External"/><Relationship Id="rId2" Type="http://schemas.openxmlformats.org/officeDocument/2006/relationships/externalLinkPath" Target="file:///C:\Users\Administrator\Documents\&#52852;&#52852;&#50724;&#53665;%20&#48155;&#51008;%20&#54028;&#51068;\01_UNIX%20&#49436;&#48260;%20&#52712;&#50557;&#51216;&#51652;&#45800;%20&#49345;&#49464;&#44208;&#44284;_&#48372;&#50504;&#44288;&#51228;&#51333;&#54633;&#49884;&#49828;&#53596;.xlsm" TargetMode="External"/><Relationship Id="rId1" Type="http://schemas.openxmlformats.org/officeDocument/2006/relationships/externalLinkPath" Target="/Users/Administrator/Documents/&#52852;&#52852;&#50724;&#53665;%20&#48155;&#51008;%20&#54028;&#51068;/01_UNIX%20&#49436;&#48260;%20&#52712;&#50557;&#51216;&#51652;&#45800;%20&#49345;&#49464;&#44208;&#44284;_&#48372;&#50504;&#44288;&#51228;&#51333;&#54633;&#49884;&#49828;&#53596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표지"/>
      <sheetName val="Ⅰ.개요"/>
      <sheetName val="Ⅱ. 수행내역"/>
      <sheetName val="Ⅲ. 점검 대상"/>
      <sheetName val="Ⅳ. 보안점검 결과_총평"/>
      <sheetName val="Ⅳ. 보안점검 결과_요약"/>
      <sheetName val="Ⅴ. 보안점검 결과 전체"/>
      <sheetName val="Ⅳ. 이행점검 결과_요약"/>
      <sheetName val="Ⅳ. 이행점검 결과_총평"/>
      <sheetName val="Ⅴ. 이행점검 결과 전체"/>
      <sheetName val="대응방안"/>
      <sheetName val="hidden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</sheetNames>
    <definedNames>
      <definedName name="보안점검결과총평_대상" refersTo="#REF!"/>
      <definedName name="보안점검결과총평_점수" refersTo="#REF!"/>
      <definedName name="보안점검결과총평_평균" refersTo="#REF!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6">
          <cell r="B26" t="str">
            <v>종합분석웹시스템#01</v>
          </cell>
          <cell r="C26">
            <v>2</v>
          </cell>
          <cell r="D26">
            <v>0</v>
          </cell>
          <cell r="E26">
            <v>0</v>
          </cell>
          <cell r="G26" t="str">
            <v>종합분석웹시스템#01</v>
          </cell>
          <cell r="H26">
            <v>0</v>
          </cell>
          <cell r="I26">
            <v>1</v>
          </cell>
          <cell r="J26">
            <v>1</v>
          </cell>
          <cell r="N26" t="str">
            <v>종합분석웹시스템#01</v>
          </cell>
          <cell r="O26">
            <v>2</v>
          </cell>
          <cell r="Q26" t="str">
            <v>종합분석웹시스템#01</v>
          </cell>
          <cell r="R26">
            <v>0</v>
          </cell>
        </row>
        <row r="27">
          <cell r="B27" t="str">
            <v>종합분석웹시스템#02</v>
          </cell>
          <cell r="C27">
            <v>2</v>
          </cell>
          <cell r="D27">
            <v>0</v>
          </cell>
          <cell r="E27">
            <v>0</v>
          </cell>
          <cell r="G27" t="str">
            <v>종합분석웹시스템#02</v>
          </cell>
          <cell r="H27">
            <v>0</v>
          </cell>
          <cell r="I27">
            <v>1</v>
          </cell>
          <cell r="J27">
            <v>1</v>
          </cell>
        </row>
        <row r="28">
          <cell r="B28" t="str">
            <v>장애감시시스템#01</v>
          </cell>
          <cell r="C28">
            <v>2</v>
          </cell>
          <cell r="D28">
            <v>0</v>
          </cell>
          <cell r="E28">
            <v>0</v>
          </cell>
          <cell r="G28" t="str">
            <v>장애감시시스템#01</v>
          </cell>
          <cell r="H28">
            <v>0</v>
          </cell>
          <cell r="I28">
            <v>1</v>
          </cell>
          <cell r="J28">
            <v>1</v>
          </cell>
        </row>
        <row r="29">
          <cell r="B29" t="str">
            <v>장애감시시스템#02</v>
          </cell>
          <cell r="C29">
            <v>2</v>
          </cell>
          <cell r="D29">
            <v>0</v>
          </cell>
          <cell r="E29">
            <v>0</v>
          </cell>
          <cell r="G29" t="str">
            <v>장애감시시스템#02</v>
          </cell>
          <cell r="H29">
            <v>0</v>
          </cell>
          <cell r="I29">
            <v>1</v>
          </cell>
          <cell r="J29">
            <v>1</v>
          </cell>
        </row>
        <row r="30">
          <cell r="B30" t="str">
            <v>장애감시시스템#03</v>
          </cell>
          <cell r="C30">
            <v>2</v>
          </cell>
          <cell r="D30">
            <v>0</v>
          </cell>
          <cell r="E30">
            <v>0</v>
          </cell>
          <cell r="G30" t="str">
            <v>장애감시시스템#03</v>
          </cell>
          <cell r="H30">
            <v>0</v>
          </cell>
          <cell r="I30">
            <v>1</v>
          </cell>
          <cell r="J30">
            <v>1</v>
          </cell>
        </row>
        <row r="31">
          <cell r="B31" t="str">
            <v>종합분석시스템#01</v>
          </cell>
          <cell r="C31">
            <v>2</v>
          </cell>
          <cell r="G31" t="str">
            <v>종합분석시스템#01</v>
          </cell>
          <cell r="H31">
            <v>0</v>
          </cell>
        </row>
        <row r="32">
          <cell r="B32" t="str">
            <v>종합분석시스템#02</v>
          </cell>
          <cell r="C32">
            <v>2</v>
          </cell>
          <cell r="G32" t="str">
            <v>종합분석시스템#02</v>
          </cell>
          <cell r="H32">
            <v>0</v>
          </cell>
        </row>
        <row r="33">
          <cell r="B33" t="str">
            <v>종합분석시스템#03</v>
          </cell>
          <cell r="C33">
            <v>2</v>
          </cell>
          <cell r="G33" t="str">
            <v>종합분석시스템#03</v>
          </cell>
          <cell r="H33">
            <v>0</v>
          </cell>
        </row>
        <row r="34">
          <cell r="B34" t="str">
            <v>종합분석시스템#04</v>
          </cell>
          <cell r="C34">
            <v>2</v>
          </cell>
          <cell r="G34" t="str">
            <v>종합분석시스템#04</v>
          </cell>
          <cell r="H34">
            <v>0</v>
          </cell>
        </row>
        <row r="35">
          <cell r="B35" t="str">
            <v>종합분석시스템#05</v>
          </cell>
          <cell r="C35">
            <v>2</v>
          </cell>
          <cell r="G35" t="str">
            <v>종합분석시스템#05</v>
          </cell>
          <cell r="H35">
            <v>0</v>
          </cell>
        </row>
        <row r="36">
          <cell r="B36" t="str">
            <v>종합분석시스템#06</v>
          </cell>
          <cell r="C36">
            <v>2</v>
          </cell>
          <cell r="G36" t="str">
            <v>종합분석시스템#06</v>
          </cell>
          <cell r="H36">
            <v>0</v>
          </cell>
          <cell r="U36" t="str">
            <v>상</v>
          </cell>
          <cell r="W36">
            <v>23</v>
          </cell>
        </row>
        <row r="37">
          <cell r="B37" t="str">
            <v>종합분석시스템#07</v>
          </cell>
          <cell r="C37">
            <v>2</v>
          </cell>
          <cell r="G37" t="str">
            <v>종합분석시스템#07</v>
          </cell>
          <cell r="H37">
            <v>0</v>
          </cell>
          <cell r="U37" t="str">
            <v>중</v>
          </cell>
          <cell r="W37">
            <v>23</v>
          </cell>
        </row>
        <row r="38">
          <cell r="B38" t="str">
            <v>종합분석시스템#08</v>
          </cell>
          <cell r="C38">
            <v>2</v>
          </cell>
          <cell r="G38" t="str">
            <v>종합분석시스템#08</v>
          </cell>
          <cell r="H38">
            <v>0</v>
          </cell>
          <cell r="U38" t="str">
            <v>하</v>
          </cell>
          <cell r="W38">
            <v>0</v>
          </cell>
        </row>
        <row r="39">
          <cell r="B39" t="str">
            <v>사이버위협정보공유웹시스템#01</v>
          </cell>
          <cell r="C39">
            <v>2</v>
          </cell>
          <cell r="G39" t="str">
            <v>사이버위협정보공유웹시스템#01</v>
          </cell>
          <cell r="H39">
            <v>0</v>
          </cell>
        </row>
        <row r="40">
          <cell r="B40" t="str">
            <v>사이버위협정보공유웹시스템#02</v>
          </cell>
          <cell r="C40">
            <v>2</v>
          </cell>
          <cell r="G40" t="str">
            <v>사이버위협정보공유웹시스템#02</v>
          </cell>
          <cell r="H40">
            <v>0</v>
          </cell>
        </row>
        <row r="41">
          <cell r="B41" t="str">
            <v>탐지규칙배포시스템#01</v>
          </cell>
          <cell r="C41">
            <v>2</v>
          </cell>
          <cell r="G41" t="str">
            <v>탐지규칙배포시스템#01</v>
          </cell>
          <cell r="H41">
            <v>0</v>
          </cell>
        </row>
        <row r="42">
          <cell r="B42" t="str">
            <v>탐지규칙배포시스템#02</v>
          </cell>
          <cell r="C42">
            <v>2</v>
          </cell>
          <cell r="G42" t="str">
            <v>탐지규칙배포시스템#02</v>
          </cell>
          <cell r="H42">
            <v>0</v>
          </cell>
        </row>
        <row r="43">
          <cell r="B43" t="str">
            <v>외부연계시스템#01</v>
          </cell>
          <cell r="C43">
            <v>2</v>
          </cell>
          <cell r="G43" t="str">
            <v>외부연계시스템#01</v>
          </cell>
          <cell r="H43">
            <v>0</v>
          </cell>
        </row>
        <row r="44">
          <cell r="B44" t="str">
            <v>외부연계시스템#02</v>
          </cell>
          <cell r="C44">
            <v>2</v>
          </cell>
          <cell r="G44" t="str">
            <v>외부연계시스템#02</v>
          </cell>
          <cell r="H44">
            <v>0</v>
          </cell>
        </row>
        <row r="45">
          <cell r="B45" t="str">
            <v>위협수집시스템#01</v>
          </cell>
          <cell r="C45">
            <v>2</v>
          </cell>
          <cell r="G45" t="str">
            <v>위협수집시스템#01</v>
          </cell>
          <cell r="H45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DD16-E1B0-494D-A6C5-D6D0617433B4}">
  <dimension ref="A1:N32"/>
  <sheetViews>
    <sheetView tabSelected="1" view="pageBreakPreview" zoomScale="60" zoomScaleNormal="100" workbookViewId="0">
      <selection activeCell="A4" sqref="A4"/>
    </sheetView>
  </sheetViews>
  <sheetFormatPr defaultRowHeight="16.5" x14ac:dyDescent="0.3"/>
  <sheetData>
    <row r="1" spans="1:14" ht="16.5" customHeight="1" x14ac:dyDescent="0.3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/>
    </row>
    <row r="2" spans="1:14" ht="16.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16.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6.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6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6.5" customHeight="1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6.5" customHeight="1" x14ac:dyDescent="0.3">
      <c r="A7" s="159" t="s">
        <v>346</v>
      </c>
      <c r="B7" s="159"/>
      <c r="C7" s="159"/>
      <c r="D7" s="159"/>
      <c r="E7" s="159"/>
      <c r="F7" s="159"/>
      <c r="G7" s="159"/>
      <c r="H7" s="159"/>
      <c r="I7" s="159"/>
      <c r="J7" s="159"/>
      <c r="K7" s="159"/>
      <c r="L7" s="159"/>
      <c r="M7" s="159"/>
      <c r="N7" s="159"/>
    </row>
    <row r="8" spans="1:14" ht="16.5" customHeight="1" x14ac:dyDescent="0.3">
      <c r="A8" s="159"/>
      <c r="B8" s="159"/>
      <c r="C8" s="159"/>
      <c r="D8" s="159"/>
      <c r="E8" s="159"/>
      <c r="F8" s="159"/>
      <c r="G8" s="159"/>
      <c r="H8" s="159"/>
      <c r="I8" s="159"/>
      <c r="J8" s="159"/>
      <c r="K8" s="159"/>
      <c r="L8" s="159"/>
      <c r="M8" s="159"/>
      <c r="N8" s="159"/>
    </row>
    <row r="9" spans="1:14" ht="16.5" customHeight="1" x14ac:dyDescent="0.3">
      <c r="A9" s="159"/>
      <c r="B9" s="159"/>
      <c r="C9" s="159"/>
      <c r="D9" s="159"/>
      <c r="E9" s="159"/>
      <c r="F9" s="159"/>
      <c r="G9" s="159"/>
      <c r="H9" s="159"/>
      <c r="I9" s="159"/>
      <c r="J9" s="159"/>
      <c r="K9" s="159"/>
      <c r="L9" s="159"/>
      <c r="M9" s="159"/>
      <c r="N9" s="159"/>
    </row>
    <row r="10" spans="1:14" ht="16.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6.5" customHeight="1" x14ac:dyDescent="0.3">
      <c r="A11" s="161" t="s">
        <v>348</v>
      </c>
      <c r="B11" s="162"/>
      <c r="C11" s="162"/>
      <c r="D11" s="162"/>
      <c r="E11" s="162"/>
      <c r="F11" s="162"/>
      <c r="G11" s="162"/>
      <c r="H11" s="162"/>
      <c r="I11" s="162"/>
      <c r="J11" s="162"/>
      <c r="K11" s="162"/>
      <c r="L11" s="162"/>
      <c r="M11" s="162"/>
      <c r="N11" s="162"/>
    </row>
    <row r="12" spans="1:14" ht="16.5" customHeight="1" x14ac:dyDescent="0.3">
      <c r="A12" s="162"/>
      <c r="B12" s="162"/>
      <c r="C12" s="162"/>
      <c r="D12" s="162"/>
      <c r="E12" s="162"/>
      <c r="F12" s="162"/>
      <c r="G12" s="162"/>
      <c r="H12" s="162"/>
      <c r="I12" s="162"/>
      <c r="J12" s="162"/>
      <c r="K12" s="162"/>
      <c r="L12" s="162"/>
      <c r="M12" s="162"/>
      <c r="N12" s="162"/>
    </row>
    <row r="13" spans="1:14" ht="16.5" customHeight="1" x14ac:dyDescent="0.3">
      <c r="A13" s="162"/>
      <c r="B13" s="162"/>
      <c r="C13" s="162"/>
      <c r="D13" s="162"/>
      <c r="E13" s="162"/>
      <c r="F13" s="162"/>
      <c r="G13" s="162"/>
      <c r="H13" s="162"/>
      <c r="I13" s="162"/>
      <c r="J13" s="162"/>
      <c r="K13" s="162"/>
      <c r="L13" s="162"/>
      <c r="M13" s="162"/>
      <c r="N13" s="162"/>
    </row>
    <row r="14" spans="1:14" ht="16.5" customHeight="1" x14ac:dyDescent="0.3">
      <c r="A14" s="162"/>
      <c r="B14" s="162"/>
      <c r="C14" s="162"/>
      <c r="D14" s="162"/>
      <c r="E14" s="162"/>
      <c r="F14" s="162"/>
      <c r="G14" s="162"/>
      <c r="H14" s="162"/>
      <c r="I14" s="162"/>
      <c r="J14" s="162"/>
      <c r="K14" s="162"/>
      <c r="L14" s="162"/>
      <c r="M14" s="162"/>
      <c r="N14" s="162"/>
    </row>
    <row r="15" spans="1:14" ht="16.5" customHeight="1" x14ac:dyDescent="0.3">
      <c r="A15" s="162"/>
      <c r="B15" s="162"/>
      <c r="C15" s="162"/>
      <c r="D15" s="162"/>
      <c r="E15" s="162"/>
      <c r="F15" s="162"/>
      <c r="G15" s="162"/>
      <c r="H15" s="162"/>
      <c r="I15" s="162"/>
      <c r="J15" s="162"/>
      <c r="K15" s="162"/>
      <c r="L15" s="162"/>
      <c r="M15" s="162"/>
      <c r="N15" s="162"/>
    </row>
    <row r="16" spans="1:14" ht="16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16.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6.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6.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6.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6.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ht="16.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ht="16.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ht="16.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6.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16.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ht="16.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6.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16.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6.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6.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16.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2">
    <mergeCell ref="A7:N9"/>
    <mergeCell ref="A11:N15"/>
  </mergeCells>
  <phoneticPr fontId="1" type="noConversion"/>
  <pageMargins left="0.7" right="0.7" top="0.75" bottom="0.75" header="0.3" footer="0.3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E0972-0A1E-4119-9489-974947B9B5D4}">
  <dimension ref="A1:Z35"/>
  <sheetViews>
    <sheetView view="pageBreakPreview" zoomScaleNormal="100" zoomScaleSheetLayoutView="100" workbookViewId="0">
      <selection activeCell="D21" sqref="D21"/>
    </sheetView>
  </sheetViews>
  <sheetFormatPr defaultRowHeight="16.5" x14ac:dyDescent="0.3"/>
  <cols>
    <col min="1" max="26" width="4.625" style="45" customWidth="1"/>
  </cols>
  <sheetData>
    <row r="1" spans="1:26" ht="14.1" customHeight="1" x14ac:dyDescent="0.3">
      <c r="A1" s="48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9"/>
    </row>
    <row r="2" spans="1:26" ht="14.1" customHeight="1" x14ac:dyDescent="0.3">
      <c r="A2" s="142" t="s">
        <v>238</v>
      </c>
      <c r="B2" s="143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1"/>
    </row>
    <row r="3" spans="1:26" ht="14.1" customHeight="1" x14ac:dyDescent="0.3">
      <c r="A3" s="52"/>
      <c r="B3" s="53"/>
      <c r="C3" s="160"/>
      <c r="D3" s="53"/>
      <c r="E3" s="53"/>
      <c r="F3" s="53"/>
      <c r="G3" s="53"/>
      <c r="H3" s="53"/>
      <c r="I3" s="53"/>
      <c r="J3" s="53"/>
      <c r="K3" s="53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1"/>
    </row>
    <row r="4" spans="1:26" ht="14.1" customHeight="1" x14ac:dyDescent="0.3">
      <c r="A4" s="54"/>
      <c r="B4" s="55" t="s">
        <v>239</v>
      </c>
      <c r="C4" s="56"/>
      <c r="D4" s="57"/>
      <c r="E4" s="56"/>
      <c r="F4" s="56"/>
      <c r="G4" s="56"/>
      <c r="H4" s="56"/>
      <c r="I4" s="56"/>
      <c r="J4" s="56"/>
      <c r="K4" s="56"/>
      <c r="L4" s="56"/>
      <c r="M4" s="56"/>
      <c r="N4" s="56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1"/>
    </row>
    <row r="5" spans="1:26" ht="14.1" customHeight="1" x14ac:dyDescent="0.3">
      <c r="A5" s="54"/>
      <c r="B5" s="144" t="str">
        <f>'Ⅰ. 표지'!A7 &amp;"에서 운영 중인 서버를 대상으로 보안점검을 수행하여 현재의 보안 수준을 파악, 발견된 취약점에 대한 기술적인 대책을 수립함으로써 의 IT환경을 더욱 신뢰성 있고 안전한 환경을 구축하여, 서비스의 안정성을 확보하는데 있습니다."</f>
        <v>업체명에서 운영 중인 서버를 대상으로 보안점검을 수행하여 현재의 보안 수준을 파악, 발견된 취약점에 대한 기술적인 대책을 수립함으로써 의 IT환경을 더욱 신뢰성 있고 안전한 환경을 구축하여, 서비스의 안정성을 확보하는데 있습니다.</v>
      </c>
      <c r="C5" s="144"/>
      <c r="D5" s="144"/>
      <c r="E5" s="144"/>
      <c r="F5" s="144"/>
      <c r="G5" s="144"/>
      <c r="H5" s="144"/>
      <c r="I5" s="144"/>
      <c r="J5" s="144"/>
      <c r="K5" s="144"/>
      <c r="L5" s="144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51"/>
    </row>
    <row r="6" spans="1:26" ht="14.1" customHeight="1" x14ac:dyDescent="0.3">
      <c r="A6" s="54"/>
      <c r="B6" s="144"/>
      <c r="C6" s="144"/>
      <c r="D6" s="144"/>
      <c r="E6" s="144"/>
      <c r="F6" s="144"/>
      <c r="G6" s="144"/>
      <c r="H6" s="144"/>
      <c r="I6" s="144"/>
      <c r="J6" s="144"/>
      <c r="K6" s="144"/>
      <c r="L6" s="144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51"/>
    </row>
    <row r="7" spans="1:26" ht="14.1" customHeight="1" x14ac:dyDescent="0.3">
      <c r="A7" s="54"/>
      <c r="B7" s="58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1"/>
    </row>
    <row r="8" spans="1:26" ht="14.1" customHeight="1" x14ac:dyDescent="0.3">
      <c r="A8" s="54"/>
      <c r="B8" s="55" t="s">
        <v>240</v>
      </c>
      <c r="C8" s="56"/>
      <c r="D8" s="56"/>
      <c r="E8" s="56"/>
      <c r="F8" s="56"/>
      <c r="G8" s="56"/>
      <c r="H8" s="56"/>
      <c r="I8" s="56"/>
      <c r="J8" s="56"/>
      <c r="K8" s="56"/>
      <c r="L8" s="59"/>
      <c r="M8" s="56"/>
      <c r="N8" s="56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1"/>
    </row>
    <row r="9" spans="1:26" ht="14.1" customHeight="1" x14ac:dyDescent="0.3">
      <c r="A9" s="54"/>
      <c r="B9" s="145" t="s">
        <v>241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  <c r="Q9" s="145"/>
      <c r="R9" s="145"/>
      <c r="S9" s="145"/>
      <c r="T9" s="145"/>
      <c r="U9" s="145"/>
      <c r="V9" s="145"/>
      <c r="W9" s="145"/>
      <c r="X9" s="145"/>
      <c r="Y9" s="145"/>
      <c r="Z9" s="51"/>
    </row>
    <row r="10" spans="1:26" ht="14.1" customHeight="1" x14ac:dyDescent="0.3">
      <c r="A10" s="54"/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  <c r="Q10" s="145"/>
      <c r="R10" s="145"/>
      <c r="S10" s="145"/>
      <c r="T10" s="145"/>
      <c r="U10" s="145"/>
      <c r="V10" s="145"/>
      <c r="W10" s="145"/>
      <c r="X10" s="145"/>
      <c r="Y10" s="145"/>
      <c r="Z10" s="51"/>
    </row>
    <row r="11" spans="1:26" ht="14.1" customHeight="1" x14ac:dyDescent="0.3">
      <c r="A11" s="54"/>
      <c r="B11" s="145"/>
      <c r="C11" s="145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45"/>
      <c r="U11" s="145"/>
      <c r="V11" s="145"/>
      <c r="W11" s="145"/>
      <c r="X11" s="145"/>
      <c r="Y11" s="145"/>
      <c r="Z11" s="51"/>
    </row>
    <row r="12" spans="1:26" ht="14.1" customHeight="1" x14ac:dyDescent="0.3">
      <c r="A12" s="54"/>
      <c r="B12" s="145"/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  <c r="Q12" s="145"/>
      <c r="R12" s="145"/>
      <c r="S12" s="145"/>
      <c r="T12" s="145"/>
      <c r="U12" s="145"/>
      <c r="V12" s="145"/>
      <c r="W12" s="145"/>
      <c r="X12" s="145"/>
      <c r="Y12" s="145"/>
      <c r="Z12" s="51"/>
    </row>
    <row r="13" spans="1:26" ht="14.1" customHeight="1" x14ac:dyDescent="0.3">
      <c r="A13" s="54"/>
      <c r="B13" s="56"/>
      <c r="C13" s="56"/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</row>
    <row r="14" spans="1:26" ht="14.1" customHeight="1" x14ac:dyDescent="0.3">
      <c r="A14" s="54"/>
      <c r="B14" s="55" t="s">
        <v>242</v>
      </c>
      <c r="C14" s="56"/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</row>
    <row r="15" spans="1:26" ht="14.1" customHeight="1" x14ac:dyDescent="0.3">
      <c r="A15" s="54"/>
      <c r="B15" s="144" t="s">
        <v>243</v>
      </c>
      <c r="C15" s="144"/>
      <c r="D15" s="144"/>
      <c r="E15" s="144"/>
      <c r="F15" s="144"/>
      <c r="G15" s="144"/>
      <c r="H15" s="144"/>
      <c r="I15" s="144"/>
      <c r="J15" s="144"/>
      <c r="K15" s="144"/>
      <c r="L15" s="144"/>
      <c r="M15" s="144"/>
      <c r="N15" s="144"/>
      <c r="O15" s="144"/>
      <c r="P15" s="144"/>
      <c r="Q15" s="144"/>
      <c r="R15" s="144"/>
      <c r="S15" s="144"/>
      <c r="T15" s="144"/>
      <c r="U15" s="144"/>
      <c r="V15" s="144"/>
      <c r="W15" s="144"/>
      <c r="X15" s="144"/>
      <c r="Y15" s="144"/>
      <c r="Z15" s="51"/>
    </row>
    <row r="16" spans="1:26" ht="14.1" customHeight="1" x14ac:dyDescent="0.3">
      <c r="A16" s="54"/>
      <c r="B16" s="144"/>
      <c r="C16" s="144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T16" s="144"/>
      <c r="U16" s="144"/>
      <c r="V16" s="144"/>
      <c r="W16" s="144"/>
      <c r="X16" s="144"/>
      <c r="Y16" s="144"/>
      <c r="Z16" s="51"/>
    </row>
    <row r="17" spans="1:26" ht="14.1" customHeight="1" x14ac:dyDescent="0.3">
      <c r="A17" s="54"/>
      <c r="B17" s="58"/>
      <c r="C17" s="50"/>
      <c r="D17" s="141" t="s">
        <v>244</v>
      </c>
      <c r="E17" s="141"/>
      <c r="F17" s="141"/>
      <c r="G17" s="141"/>
      <c r="H17" s="141"/>
      <c r="I17" s="141"/>
      <c r="J17" s="141" t="s">
        <v>245</v>
      </c>
      <c r="K17" s="141"/>
      <c r="L17" s="141"/>
      <c r="M17" s="141"/>
      <c r="N17" s="141"/>
      <c r="O17" s="141"/>
      <c r="P17" s="141"/>
      <c r="Q17" s="141"/>
      <c r="R17" s="141"/>
      <c r="S17" s="141" t="s">
        <v>246</v>
      </c>
      <c r="T17" s="141"/>
      <c r="U17" s="141"/>
      <c r="V17" s="141"/>
      <c r="W17" s="141"/>
      <c r="X17" s="50"/>
      <c r="Y17" s="50"/>
      <c r="Z17" s="51"/>
    </row>
    <row r="18" spans="1:26" ht="14.1" customHeight="1" x14ac:dyDescent="0.3">
      <c r="A18" s="54"/>
      <c r="B18" s="60"/>
      <c r="C18" s="50"/>
      <c r="D18" s="146" t="s">
        <v>347</v>
      </c>
      <c r="E18" s="146"/>
      <c r="F18" s="146"/>
      <c r="G18" s="146"/>
      <c r="H18" s="146"/>
      <c r="I18" s="146"/>
      <c r="J18" s="147" t="s">
        <v>247</v>
      </c>
      <c r="K18" s="148"/>
      <c r="L18" s="148"/>
      <c r="M18" s="148"/>
      <c r="N18" s="148"/>
      <c r="O18" s="148"/>
      <c r="P18" s="148"/>
      <c r="Q18" s="148"/>
      <c r="R18" s="149"/>
      <c r="S18" s="140" t="s">
        <v>248</v>
      </c>
      <c r="T18" s="140"/>
      <c r="U18" s="140"/>
      <c r="V18" s="140"/>
      <c r="W18" s="140"/>
      <c r="X18" s="50"/>
      <c r="Y18" s="50"/>
      <c r="Z18" s="51"/>
    </row>
    <row r="19" spans="1:26" ht="14.1" customHeight="1" x14ac:dyDescent="0.3">
      <c r="A19" s="61"/>
      <c r="B19" s="56"/>
      <c r="C19" s="50"/>
      <c r="D19" s="146"/>
      <c r="E19" s="146"/>
      <c r="F19" s="146"/>
      <c r="G19" s="146"/>
      <c r="H19" s="146"/>
      <c r="I19" s="146"/>
      <c r="J19" s="150"/>
      <c r="K19" s="151"/>
      <c r="L19" s="151"/>
      <c r="M19" s="151"/>
      <c r="N19" s="151"/>
      <c r="O19" s="151"/>
      <c r="P19" s="151"/>
      <c r="Q19" s="151"/>
      <c r="R19" s="152"/>
      <c r="S19" s="140" t="s">
        <v>234</v>
      </c>
      <c r="T19" s="140"/>
      <c r="U19" s="140"/>
      <c r="V19" s="140"/>
      <c r="W19" s="140"/>
      <c r="X19" s="50"/>
      <c r="Y19" s="50"/>
      <c r="Z19" s="51"/>
    </row>
    <row r="20" spans="1:26" ht="14.1" customHeight="1" x14ac:dyDescent="0.3">
      <c r="A20" s="61"/>
      <c r="B20" s="56"/>
      <c r="C20" s="50"/>
      <c r="D20" s="146"/>
      <c r="E20" s="146"/>
      <c r="F20" s="146"/>
      <c r="G20" s="146"/>
      <c r="H20" s="146"/>
      <c r="I20" s="146"/>
      <c r="J20" s="153"/>
      <c r="K20" s="154"/>
      <c r="L20" s="154"/>
      <c r="M20" s="154"/>
      <c r="N20" s="154"/>
      <c r="O20" s="154"/>
      <c r="P20" s="154"/>
      <c r="Q20" s="154"/>
      <c r="R20" s="155"/>
      <c r="S20" s="140" t="s">
        <v>249</v>
      </c>
      <c r="T20" s="140"/>
      <c r="U20" s="140"/>
      <c r="V20" s="140"/>
      <c r="W20" s="140"/>
      <c r="X20" s="50"/>
      <c r="Y20" s="50"/>
      <c r="Z20" s="51"/>
    </row>
    <row r="21" spans="1:26" ht="14.1" customHeight="1" x14ac:dyDescent="0.3">
      <c r="A21" s="61"/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</row>
    <row r="22" spans="1:26" ht="14.1" customHeight="1" x14ac:dyDescent="0.3">
      <c r="A22" s="61"/>
      <c r="B22" s="55" t="s">
        <v>250</v>
      </c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</row>
    <row r="23" spans="1:26" ht="14.1" customHeight="1" x14ac:dyDescent="0.3">
      <c r="A23" s="61"/>
      <c r="B23" s="62" t="s">
        <v>251</v>
      </c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63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</row>
    <row r="24" spans="1:26" ht="14.1" customHeight="1" x14ac:dyDescent="0.3">
      <c r="A24" s="61"/>
      <c r="B24" s="50"/>
      <c r="C24" s="50"/>
      <c r="D24" s="141" t="s">
        <v>244</v>
      </c>
      <c r="E24" s="141"/>
      <c r="F24" s="141"/>
      <c r="G24" s="141"/>
      <c r="H24" s="141"/>
      <c r="I24" s="141"/>
      <c r="J24" s="141" t="s">
        <v>252</v>
      </c>
      <c r="K24" s="141"/>
      <c r="L24" s="141"/>
      <c r="M24" s="141"/>
      <c r="N24" s="141"/>
      <c r="O24" s="141"/>
      <c r="P24" s="141"/>
      <c r="Q24" s="141"/>
      <c r="R24" s="141"/>
      <c r="S24" s="141"/>
      <c r="T24" s="141"/>
      <c r="U24" s="141"/>
      <c r="V24" s="141"/>
      <c r="W24" s="141"/>
      <c r="X24" s="50"/>
      <c r="Y24" s="50"/>
      <c r="Z24" s="51"/>
    </row>
    <row r="25" spans="1:26" ht="14.1" customHeight="1" x14ac:dyDescent="0.3">
      <c r="A25" s="61"/>
      <c r="B25" s="50"/>
      <c r="C25" s="50"/>
      <c r="D25" s="139" t="s">
        <v>101</v>
      </c>
      <c r="E25" s="139"/>
      <c r="F25" s="139"/>
      <c r="G25" s="139"/>
      <c r="H25" s="139"/>
      <c r="I25" s="139"/>
      <c r="J25" s="140" t="s">
        <v>253</v>
      </c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50"/>
      <c r="Y25" s="50"/>
      <c r="Z25" s="51"/>
    </row>
    <row r="26" spans="1:26" ht="14.1" customHeight="1" x14ac:dyDescent="0.3">
      <c r="A26" s="61"/>
      <c r="B26" s="50"/>
      <c r="C26" s="50"/>
      <c r="D26" s="139" t="s">
        <v>236</v>
      </c>
      <c r="E26" s="139"/>
      <c r="F26" s="139"/>
      <c r="G26" s="139"/>
      <c r="H26" s="139"/>
      <c r="I26" s="139"/>
      <c r="J26" s="140" t="s">
        <v>254</v>
      </c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50"/>
      <c r="Y26" s="50"/>
      <c r="Z26" s="51"/>
    </row>
    <row r="27" spans="1:26" ht="14.1" customHeight="1" x14ac:dyDescent="0.3">
      <c r="A27" s="61"/>
      <c r="B27" s="50"/>
      <c r="C27" s="50"/>
      <c r="D27" s="139" t="s">
        <v>237</v>
      </c>
      <c r="E27" s="139"/>
      <c r="F27" s="139"/>
      <c r="G27" s="139"/>
      <c r="H27" s="139"/>
      <c r="I27" s="139"/>
      <c r="J27" s="140" t="s">
        <v>255</v>
      </c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50"/>
      <c r="Y27" s="50"/>
      <c r="Z27" s="51"/>
    </row>
    <row r="28" spans="1:26" ht="14.1" customHeight="1" x14ac:dyDescent="0.3">
      <c r="A28" s="61"/>
      <c r="B28" s="50"/>
      <c r="C28" s="50"/>
      <c r="D28" s="139" t="s">
        <v>235</v>
      </c>
      <c r="E28" s="139"/>
      <c r="F28" s="139"/>
      <c r="G28" s="139"/>
      <c r="H28" s="139"/>
      <c r="I28" s="139"/>
      <c r="J28" s="140" t="s">
        <v>256</v>
      </c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50"/>
      <c r="Y28" s="50"/>
      <c r="Z28" s="51"/>
    </row>
    <row r="29" spans="1:26" ht="14.1" customHeight="1" x14ac:dyDescent="0.3">
      <c r="A29" s="61"/>
      <c r="B29" s="56"/>
      <c r="C29" s="56"/>
      <c r="D29" s="56"/>
      <c r="E29" s="50"/>
      <c r="F29" s="56"/>
      <c r="G29" s="56"/>
      <c r="H29" s="56"/>
      <c r="I29" s="56"/>
      <c r="J29" s="56"/>
      <c r="K29" s="56"/>
      <c r="L29" s="56"/>
      <c r="M29" s="56"/>
      <c r="N29" s="63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</row>
    <row r="30" spans="1:26" ht="14.1" customHeight="1" x14ac:dyDescent="0.3">
      <c r="A30" s="61"/>
      <c r="B30" s="62" t="s">
        <v>257</v>
      </c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3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</row>
    <row r="31" spans="1:26" ht="14.1" customHeight="1" x14ac:dyDescent="0.3">
      <c r="A31" s="61"/>
      <c r="B31" s="50"/>
      <c r="C31" s="50"/>
      <c r="D31" s="141" t="s">
        <v>244</v>
      </c>
      <c r="E31" s="141"/>
      <c r="F31" s="141"/>
      <c r="G31" s="141"/>
      <c r="H31" s="141"/>
      <c r="I31" s="141"/>
      <c r="J31" s="141" t="s">
        <v>252</v>
      </c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50"/>
      <c r="Y31" s="50"/>
      <c r="Z31" s="51"/>
    </row>
    <row r="32" spans="1:26" ht="14.1" customHeight="1" x14ac:dyDescent="0.3">
      <c r="A32" s="61"/>
      <c r="B32" s="50"/>
      <c r="C32" s="50"/>
      <c r="D32" s="139" t="s">
        <v>258</v>
      </c>
      <c r="E32" s="139"/>
      <c r="F32" s="139"/>
      <c r="G32" s="139"/>
      <c r="H32" s="139"/>
      <c r="I32" s="139"/>
      <c r="J32" s="140" t="s">
        <v>259</v>
      </c>
      <c r="K32" s="140"/>
      <c r="L32" s="140"/>
      <c r="M32" s="140"/>
      <c r="N32" s="140"/>
      <c r="O32" s="140"/>
      <c r="P32" s="140"/>
      <c r="Q32" s="140"/>
      <c r="R32" s="140"/>
      <c r="S32" s="140"/>
      <c r="T32" s="140"/>
      <c r="U32" s="140"/>
      <c r="V32" s="140"/>
      <c r="W32" s="140"/>
      <c r="X32" s="50"/>
      <c r="Y32" s="50"/>
      <c r="Z32" s="51"/>
    </row>
    <row r="33" spans="1:26" ht="14.1" customHeight="1" x14ac:dyDescent="0.3">
      <c r="A33" s="61"/>
      <c r="B33" s="50"/>
      <c r="C33" s="50"/>
      <c r="D33" s="139" t="s">
        <v>260</v>
      </c>
      <c r="E33" s="139"/>
      <c r="F33" s="139"/>
      <c r="G33" s="139"/>
      <c r="H33" s="139"/>
      <c r="I33" s="139"/>
      <c r="J33" s="140" t="s">
        <v>261</v>
      </c>
      <c r="K33" s="140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50"/>
      <c r="Y33" s="50"/>
      <c r="Z33" s="51"/>
    </row>
    <row r="34" spans="1:26" ht="14.1" customHeight="1" x14ac:dyDescent="0.3">
      <c r="A34" s="61"/>
      <c r="B34" s="50"/>
      <c r="C34" s="50"/>
      <c r="D34" s="139" t="s">
        <v>262</v>
      </c>
      <c r="E34" s="139"/>
      <c r="F34" s="139"/>
      <c r="G34" s="139"/>
      <c r="H34" s="139"/>
      <c r="I34" s="139"/>
      <c r="J34" s="140" t="s">
        <v>263</v>
      </c>
      <c r="K34" s="140"/>
      <c r="L34" s="140"/>
      <c r="M34" s="140"/>
      <c r="N34" s="140"/>
      <c r="O34" s="140"/>
      <c r="P34" s="140"/>
      <c r="Q34" s="140"/>
      <c r="R34" s="140"/>
      <c r="S34" s="140"/>
      <c r="T34" s="140"/>
      <c r="U34" s="140"/>
      <c r="V34" s="140"/>
      <c r="W34" s="140"/>
      <c r="X34" s="50"/>
      <c r="Y34" s="50"/>
      <c r="Z34" s="51"/>
    </row>
    <row r="35" spans="1:26" ht="14.1" customHeight="1" x14ac:dyDescent="0.3">
      <c r="A35" s="65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66"/>
    </row>
  </sheetData>
  <mergeCells count="30">
    <mergeCell ref="D24:I24"/>
    <mergeCell ref="J24:W24"/>
    <mergeCell ref="A2:B2"/>
    <mergeCell ref="B5:Y6"/>
    <mergeCell ref="B9:Y12"/>
    <mergeCell ref="B15:Y16"/>
    <mergeCell ref="D17:I17"/>
    <mergeCell ref="J17:R17"/>
    <mergeCell ref="S17:W17"/>
    <mergeCell ref="D18:I20"/>
    <mergeCell ref="J18:R20"/>
    <mergeCell ref="S18:W18"/>
    <mergeCell ref="S19:W19"/>
    <mergeCell ref="S20:W20"/>
    <mergeCell ref="D25:I25"/>
    <mergeCell ref="J25:W25"/>
    <mergeCell ref="D26:I26"/>
    <mergeCell ref="J26:W26"/>
    <mergeCell ref="D27:I27"/>
    <mergeCell ref="J27:W27"/>
    <mergeCell ref="D33:I33"/>
    <mergeCell ref="J33:W33"/>
    <mergeCell ref="D34:I34"/>
    <mergeCell ref="J34:W34"/>
    <mergeCell ref="D28:I28"/>
    <mergeCell ref="J28:W28"/>
    <mergeCell ref="D31:I31"/>
    <mergeCell ref="J31:W31"/>
    <mergeCell ref="D32:I32"/>
    <mergeCell ref="J32:W32"/>
  </mergeCells>
  <phoneticPr fontId="1" type="noConversion"/>
  <pageMargins left="0.7" right="0.7" top="0.75" bottom="0.75" header="0.3" footer="0.3"/>
  <pageSetup paperSize="9" scale="6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5CAB-5E48-4CEF-B302-E4483452B9ED}">
  <dimension ref="A1:I180"/>
  <sheetViews>
    <sheetView workbookViewId="0">
      <selection activeCell="D11" sqref="D11"/>
    </sheetView>
  </sheetViews>
  <sheetFormatPr defaultRowHeight="16.5" x14ac:dyDescent="0.3"/>
  <cols>
    <col min="1" max="1" width="4.625" customWidth="1"/>
    <col min="2" max="2" width="5.625" style="71" customWidth="1"/>
    <col min="3" max="3" width="23" bestFit="1" customWidth="1"/>
    <col min="4" max="8" width="17.625" customWidth="1"/>
    <col min="9" max="9" width="4.625" customWidth="1"/>
  </cols>
  <sheetData>
    <row r="1" spans="1:9" ht="14.1" customHeight="1" x14ac:dyDescent="0.3">
      <c r="A1" s="67"/>
      <c r="B1" s="69"/>
      <c r="C1" s="67"/>
      <c r="D1" s="67"/>
      <c r="E1" s="67"/>
      <c r="F1" s="67"/>
      <c r="G1" s="67"/>
      <c r="H1" s="67"/>
      <c r="I1" s="67"/>
    </row>
    <row r="2" spans="1:9" ht="14.1" customHeight="1" x14ac:dyDescent="0.3">
      <c r="A2" s="3" t="s">
        <v>0</v>
      </c>
      <c r="B2" s="70"/>
      <c r="C2" s="1"/>
      <c r="D2" s="1"/>
      <c r="E2" s="1"/>
      <c r="F2" s="1"/>
      <c r="G2" s="1"/>
      <c r="H2" s="1"/>
      <c r="I2" s="1"/>
    </row>
    <row r="3" spans="1:9" ht="14.1" customHeight="1" x14ac:dyDescent="0.3">
      <c r="A3" s="1"/>
      <c r="B3" s="70"/>
      <c r="C3" s="1"/>
      <c r="D3" s="68"/>
      <c r="E3" s="1"/>
      <c r="F3" s="1"/>
      <c r="G3" s="1"/>
      <c r="H3" s="1"/>
      <c r="I3" s="1"/>
    </row>
    <row r="4" spans="1:9" ht="14.1" customHeight="1" x14ac:dyDescent="0.3">
      <c r="A4" s="1"/>
      <c r="B4" s="72" t="s">
        <v>264</v>
      </c>
      <c r="C4" s="72" t="s">
        <v>1</v>
      </c>
      <c r="D4" s="72" t="s">
        <v>265</v>
      </c>
      <c r="E4" s="72" t="s">
        <v>2</v>
      </c>
      <c r="F4" s="72" t="s">
        <v>4</v>
      </c>
      <c r="G4" s="72" t="s">
        <v>266</v>
      </c>
      <c r="H4" s="72" t="s">
        <v>5</v>
      </c>
      <c r="I4" s="1"/>
    </row>
    <row r="5" spans="1:9" ht="14.1" customHeight="1" x14ac:dyDescent="0.3">
      <c r="A5" s="1"/>
      <c r="C5" s="71"/>
      <c r="D5" s="71"/>
      <c r="E5" s="71"/>
      <c r="F5" s="71"/>
      <c r="G5" s="71"/>
      <c r="H5" s="71"/>
      <c r="I5" s="1"/>
    </row>
    <row r="6" spans="1:9" ht="14.1" customHeight="1" x14ac:dyDescent="0.3">
      <c r="A6" s="1"/>
      <c r="C6" s="71"/>
      <c r="D6" s="71"/>
      <c r="E6" s="71"/>
      <c r="F6" s="71"/>
      <c r="G6" s="71"/>
      <c r="H6" s="71"/>
      <c r="I6" s="1"/>
    </row>
    <row r="7" spans="1:9" ht="14.1" customHeight="1" x14ac:dyDescent="0.3">
      <c r="A7" s="1"/>
      <c r="C7" s="71"/>
      <c r="D7" s="71"/>
      <c r="E7" s="71"/>
      <c r="F7" s="71"/>
      <c r="G7" s="71"/>
      <c r="H7" s="71"/>
      <c r="I7" s="1"/>
    </row>
    <row r="8" spans="1:9" ht="14.1" customHeight="1" x14ac:dyDescent="0.3">
      <c r="A8" s="1"/>
      <c r="C8" s="71"/>
      <c r="D8" s="71"/>
      <c r="E8" s="71"/>
      <c r="F8" s="71"/>
      <c r="G8" s="71"/>
      <c r="H8" s="71"/>
      <c r="I8" s="1"/>
    </row>
    <row r="9" spans="1:9" ht="14.1" customHeight="1" x14ac:dyDescent="0.3">
      <c r="A9" s="1"/>
      <c r="C9" s="71"/>
      <c r="D9" s="71"/>
      <c r="E9" s="71"/>
      <c r="F9" s="71"/>
      <c r="G9" s="71"/>
      <c r="H9" s="71"/>
      <c r="I9" s="1"/>
    </row>
    <row r="10" spans="1:9" ht="14.1" customHeight="1" x14ac:dyDescent="0.3">
      <c r="A10" s="1"/>
      <c r="C10" s="71"/>
      <c r="D10" s="71"/>
      <c r="E10" s="71"/>
      <c r="F10" s="71"/>
      <c r="G10" s="71"/>
      <c r="H10" s="71"/>
      <c r="I10" s="1"/>
    </row>
    <row r="11" spans="1:9" ht="14.1" customHeight="1" x14ac:dyDescent="0.3">
      <c r="A11" s="1"/>
      <c r="C11" s="71"/>
      <c r="D11" s="71"/>
      <c r="E11" s="71"/>
      <c r="F11" s="71"/>
      <c r="G11" s="71"/>
      <c r="H11" s="71"/>
      <c r="I11" s="1"/>
    </row>
    <row r="12" spans="1:9" ht="14.1" customHeight="1" x14ac:dyDescent="0.3">
      <c r="A12" s="1"/>
      <c r="C12" s="71"/>
      <c r="D12" s="71"/>
      <c r="E12" s="71"/>
      <c r="F12" s="71"/>
      <c r="G12" s="71"/>
      <c r="H12" s="71"/>
      <c r="I12" s="1"/>
    </row>
    <row r="13" spans="1:9" ht="14.1" customHeight="1" x14ac:dyDescent="0.3">
      <c r="A13" s="1"/>
      <c r="C13" s="71"/>
      <c r="D13" s="71"/>
      <c r="E13" s="71"/>
      <c r="F13" s="71"/>
      <c r="G13" s="71"/>
      <c r="H13" s="71"/>
      <c r="I13" s="1"/>
    </row>
    <row r="14" spans="1:9" ht="14.1" customHeight="1" x14ac:dyDescent="0.3">
      <c r="A14" s="1"/>
      <c r="C14" s="71"/>
      <c r="D14" s="71"/>
      <c r="E14" s="71"/>
      <c r="F14" s="71"/>
      <c r="G14" s="71"/>
      <c r="H14" s="71"/>
      <c r="I14" s="1"/>
    </row>
    <row r="15" spans="1:9" ht="14.1" customHeight="1" x14ac:dyDescent="0.3">
      <c r="A15" s="1"/>
      <c r="C15" s="71"/>
      <c r="D15" s="71"/>
      <c r="E15" s="71"/>
      <c r="F15" s="71"/>
      <c r="G15" s="71"/>
      <c r="H15" s="71"/>
      <c r="I15" s="1"/>
    </row>
    <row r="16" spans="1:9" ht="14.1" customHeight="1" x14ac:dyDescent="0.3">
      <c r="A16" s="1"/>
      <c r="C16" s="71"/>
      <c r="D16" s="71"/>
      <c r="E16" s="71"/>
      <c r="F16" s="71"/>
      <c r="G16" s="71"/>
      <c r="H16" s="71"/>
      <c r="I16" s="1"/>
    </row>
    <row r="17" spans="1:9" ht="14.1" customHeight="1" x14ac:dyDescent="0.3">
      <c r="A17" s="1"/>
      <c r="C17" s="71"/>
      <c r="D17" s="71"/>
      <c r="E17" s="71"/>
      <c r="F17" s="71"/>
      <c r="G17" s="71"/>
      <c r="H17" s="71"/>
      <c r="I17" s="1"/>
    </row>
    <row r="18" spans="1:9" ht="14.1" customHeight="1" x14ac:dyDescent="0.3">
      <c r="A18" s="1"/>
      <c r="C18" s="71"/>
      <c r="D18" s="71"/>
      <c r="E18" s="71"/>
      <c r="F18" s="71"/>
      <c r="G18" s="71"/>
      <c r="H18" s="71"/>
      <c r="I18" s="1"/>
    </row>
    <row r="19" spans="1:9" ht="14.1" customHeight="1" x14ac:dyDescent="0.3">
      <c r="A19" s="1"/>
      <c r="C19" s="71"/>
      <c r="D19" s="71"/>
      <c r="E19" s="71"/>
      <c r="F19" s="71"/>
      <c r="G19" s="71"/>
      <c r="H19" s="71"/>
      <c r="I19" s="1"/>
    </row>
    <row r="20" spans="1:9" ht="14.1" customHeight="1" x14ac:dyDescent="0.3">
      <c r="A20" s="1"/>
      <c r="C20" s="71"/>
      <c r="D20" s="71"/>
      <c r="E20" s="71"/>
      <c r="F20" s="71"/>
      <c r="G20" s="71"/>
      <c r="H20" s="71"/>
      <c r="I20" s="1"/>
    </row>
    <row r="21" spans="1:9" ht="14.1" customHeight="1" x14ac:dyDescent="0.3">
      <c r="A21" s="1"/>
      <c r="C21" s="71"/>
      <c r="D21" s="71"/>
      <c r="E21" s="71"/>
      <c r="F21" s="71"/>
      <c r="G21" s="71"/>
      <c r="H21" s="71"/>
      <c r="I21" s="1"/>
    </row>
    <row r="22" spans="1:9" ht="14.1" customHeight="1" x14ac:dyDescent="0.3">
      <c r="A22" s="1"/>
      <c r="C22" s="71"/>
      <c r="D22" s="71"/>
      <c r="E22" s="71"/>
      <c r="F22" s="71"/>
      <c r="G22" s="71"/>
      <c r="H22" s="71"/>
      <c r="I22" s="1"/>
    </row>
    <row r="23" spans="1:9" ht="14.1" customHeight="1" x14ac:dyDescent="0.3">
      <c r="A23" s="1"/>
      <c r="C23" s="71"/>
      <c r="D23" s="71"/>
      <c r="E23" s="71"/>
      <c r="F23" s="71"/>
      <c r="G23" s="71"/>
      <c r="H23" s="71"/>
      <c r="I23" s="1"/>
    </row>
    <row r="24" spans="1:9" ht="14.1" customHeight="1" x14ac:dyDescent="0.3">
      <c r="A24" s="1"/>
      <c r="C24" s="71"/>
      <c r="D24" s="71"/>
      <c r="E24" s="71"/>
      <c r="F24" s="71"/>
      <c r="G24" s="71"/>
      <c r="H24" s="71"/>
      <c r="I24" s="1"/>
    </row>
    <row r="25" spans="1:9" ht="14.1" customHeight="1" x14ac:dyDescent="0.3">
      <c r="A25" s="1"/>
      <c r="C25" s="71"/>
      <c r="D25" s="71"/>
      <c r="E25" s="71"/>
      <c r="F25" s="71"/>
      <c r="G25" s="71"/>
      <c r="H25" s="71"/>
      <c r="I25" s="1"/>
    </row>
    <row r="26" spans="1:9" ht="14.1" customHeight="1" x14ac:dyDescent="0.3">
      <c r="A26" s="1"/>
      <c r="C26" s="71"/>
      <c r="D26" s="71"/>
      <c r="E26" s="71"/>
      <c r="F26" s="71"/>
      <c r="G26" s="71"/>
      <c r="H26" s="71"/>
      <c r="I26" s="1"/>
    </row>
    <row r="27" spans="1:9" ht="14.1" customHeight="1" x14ac:dyDescent="0.3">
      <c r="A27" s="1"/>
      <c r="C27" s="71"/>
      <c r="D27" s="71"/>
      <c r="E27" s="71"/>
      <c r="F27" s="71"/>
      <c r="G27" s="71"/>
      <c r="H27" s="71"/>
      <c r="I27" s="1"/>
    </row>
    <row r="28" spans="1:9" ht="14.1" customHeight="1" x14ac:dyDescent="0.3">
      <c r="C28" s="71"/>
      <c r="D28" s="71"/>
      <c r="E28" s="71"/>
      <c r="F28" s="71"/>
      <c r="G28" s="71"/>
      <c r="H28" s="71"/>
    </row>
    <row r="29" spans="1:9" ht="14.1" customHeight="1" x14ac:dyDescent="0.3">
      <c r="C29" s="71"/>
      <c r="D29" s="71"/>
      <c r="E29" s="71"/>
      <c r="F29" s="71"/>
      <c r="G29" s="71"/>
      <c r="H29" s="71"/>
    </row>
    <row r="30" spans="1:9" ht="14.1" customHeight="1" x14ac:dyDescent="0.3">
      <c r="C30" s="71"/>
      <c r="D30" s="71"/>
      <c r="E30" s="71"/>
      <c r="F30" s="71"/>
      <c r="G30" s="71"/>
      <c r="H30" s="71"/>
    </row>
    <row r="31" spans="1:9" ht="14.1" customHeight="1" x14ac:dyDescent="0.3">
      <c r="C31" s="71"/>
      <c r="D31" s="71"/>
      <c r="E31" s="71"/>
      <c r="F31" s="71"/>
      <c r="G31" s="71"/>
      <c r="H31" s="71"/>
    </row>
    <row r="32" spans="1:9" ht="14.1" customHeight="1" x14ac:dyDescent="0.3">
      <c r="C32" s="71"/>
      <c r="D32" s="71"/>
      <c r="E32" s="71"/>
      <c r="F32" s="71"/>
      <c r="G32" s="71"/>
      <c r="H32" s="71"/>
    </row>
    <row r="33" spans="3:8" ht="14.1" customHeight="1" x14ac:dyDescent="0.3">
      <c r="C33" s="71"/>
      <c r="D33" s="71"/>
      <c r="E33" s="71"/>
      <c r="F33" s="71"/>
      <c r="G33" s="71"/>
      <c r="H33" s="71"/>
    </row>
    <row r="34" spans="3:8" ht="14.1" customHeight="1" x14ac:dyDescent="0.3">
      <c r="C34" s="71"/>
      <c r="D34" s="71"/>
      <c r="E34" s="71"/>
      <c r="F34" s="71"/>
      <c r="G34" s="71"/>
      <c r="H34" s="71"/>
    </row>
    <row r="35" spans="3:8" ht="14.1" customHeight="1" x14ac:dyDescent="0.3">
      <c r="C35" s="71"/>
      <c r="D35" s="71"/>
      <c r="E35" s="71"/>
      <c r="F35" s="71"/>
      <c r="G35" s="71"/>
      <c r="H35" s="71"/>
    </row>
    <row r="36" spans="3:8" ht="14.1" customHeight="1" x14ac:dyDescent="0.3">
      <c r="C36" s="71"/>
      <c r="D36" s="71"/>
      <c r="E36" s="71"/>
      <c r="F36" s="71"/>
      <c r="G36" s="71"/>
      <c r="H36" s="71"/>
    </row>
    <row r="37" spans="3:8" ht="14.1" customHeight="1" x14ac:dyDescent="0.3">
      <c r="C37" s="71"/>
      <c r="D37" s="71"/>
      <c r="E37" s="71"/>
      <c r="F37" s="71"/>
      <c r="G37" s="71"/>
      <c r="H37" s="71"/>
    </row>
    <row r="38" spans="3:8" ht="14.1" customHeight="1" x14ac:dyDescent="0.3">
      <c r="C38" s="71"/>
      <c r="D38" s="71"/>
      <c r="E38" s="71"/>
      <c r="F38" s="71"/>
      <c r="G38" s="71"/>
      <c r="H38" s="71"/>
    </row>
    <row r="39" spans="3:8" ht="14.1" customHeight="1" x14ac:dyDescent="0.3">
      <c r="C39" s="71"/>
      <c r="D39" s="71"/>
      <c r="E39" s="71"/>
      <c r="F39" s="71"/>
      <c r="G39" s="71"/>
      <c r="H39" s="71"/>
    </row>
    <row r="40" spans="3:8" ht="14.1" customHeight="1" x14ac:dyDescent="0.3">
      <c r="C40" s="71"/>
      <c r="D40" s="71"/>
      <c r="E40" s="71"/>
      <c r="F40" s="71"/>
      <c r="G40" s="71"/>
      <c r="H40" s="71"/>
    </row>
    <row r="41" spans="3:8" ht="14.1" customHeight="1" x14ac:dyDescent="0.3">
      <c r="C41" s="71"/>
      <c r="D41" s="71"/>
      <c r="E41" s="71"/>
      <c r="F41" s="71"/>
      <c r="G41" s="71"/>
      <c r="H41" s="71"/>
    </row>
    <row r="42" spans="3:8" ht="14.1" customHeight="1" x14ac:dyDescent="0.3">
      <c r="C42" s="71"/>
      <c r="D42" s="71"/>
      <c r="E42" s="71"/>
      <c r="F42" s="71"/>
      <c r="G42" s="71"/>
      <c r="H42" s="71"/>
    </row>
    <row r="43" spans="3:8" ht="14.1" customHeight="1" x14ac:dyDescent="0.3">
      <c r="C43" s="71"/>
      <c r="D43" s="71"/>
      <c r="E43" s="71"/>
      <c r="F43" s="71"/>
      <c r="G43" s="71"/>
      <c r="H43" s="71"/>
    </row>
    <row r="44" spans="3:8" ht="14.1" customHeight="1" x14ac:dyDescent="0.3">
      <c r="C44" s="71"/>
      <c r="D44" s="71"/>
      <c r="E44" s="71"/>
      <c r="F44" s="71"/>
      <c r="G44" s="71"/>
      <c r="H44" s="71"/>
    </row>
    <row r="45" spans="3:8" ht="14.1" customHeight="1" x14ac:dyDescent="0.3">
      <c r="C45" s="71"/>
      <c r="D45" s="71"/>
      <c r="E45" s="71"/>
      <c r="F45" s="71"/>
      <c r="G45" s="71"/>
      <c r="H45" s="71"/>
    </row>
    <row r="46" spans="3:8" ht="14.1" customHeight="1" x14ac:dyDescent="0.3">
      <c r="C46" s="71"/>
      <c r="D46" s="71"/>
      <c r="E46" s="71"/>
      <c r="F46" s="71"/>
      <c r="G46" s="71"/>
      <c r="H46" s="71"/>
    </row>
    <row r="47" spans="3:8" ht="14.1" customHeight="1" x14ac:dyDescent="0.3">
      <c r="C47" s="71"/>
      <c r="D47" s="71"/>
      <c r="E47" s="71"/>
      <c r="F47" s="71"/>
      <c r="G47" s="71"/>
      <c r="H47" s="71"/>
    </row>
    <row r="48" spans="3:8" ht="14.1" customHeight="1" x14ac:dyDescent="0.3">
      <c r="C48" s="71"/>
      <c r="D48" s="71"/>
      <c r="E48" s="71"/>
      <c r="F48" s="71"/>
      <c r="G48" s="71"/>
      <c r="H48" s="71"/>
    </row>
    <row r="49" spans="3:8" ht="14.1" customHeight="1" x14ac:dyDescent="0.3">
      <c r="C49" s="71"/>
      <c r="D49" s="71"/>
      <c r="E49" s="71"/>
      <c r="F49" s="71"/>
      <c r="G49" s="71"/>
      <c r="H49" s="71"/>
    </row>
    <row r="50" spans="3:8" ht="14.1" customHeight="1" x14ac:dyDescent="0.3">
      <c r="C50" s="71"/>
      <c r="D50" s="71"/>
      <c r="E50" s="71"/>
      <c r="F50" s="71"/>
      <c r="G50" s="71"/>
      <c r="H50" s="71"/>
    </row>
    <row r="51" spans="3:8" ht="14.1" customHeight="1" x14ac:dyDescent="0.3">
      <c r="C51" s="71"/>
      <c r="D51" s="71"/>
      <c r="E51" s="71"/>
      <c r="F51" s="71"/>
      <c r="G51" s="71"/>
      <c r="H51" s="71"/>
    </row>
    <row r="52" spans="3:8" ht="14.1" customHeight="1" x14ac:dyDescent="0.3">
      <c r="C52" s="71"/>
      <c r="D52" s="71"/>
      <c r="E52" s="71"/>
      <c r="F52" s="71"/>
      <c r="G52" s="71"/>
      <c r="H52" s="71"/>
    </row>
    <row r="53" spans="3:8" ht="14.1" customHeight="1" x14ac:dyDescent="0.3">
      <c r="C53" s="71"/>
      <c r="D53" s="71"/>
      <c r="E53" s="71"/>
      <c r="F53" s="71"/>
      <c r="G53" s="71"/>
      <c r="H53" s="71"/>
    </row>
    <row r="54" spans="3:8" ht="14.1" customHeight="1" x14ac:dyDescent="0.3">
      <c r="C54" s="71"/>
      <c r="D54" s="71"/>
      <c r="E54" s="71"/>
      <c r="F54" s="71"/>
      <c r="G54" s="71"/>
      <c r="H54" s="71"/>
    </row>
    <row r="55" spans="3:8" ht="14.1" customHeight="1" x14ac:dyDescent="0.3">
      <c r="C55" s="71"/>
      <c r="D55" s="71"/>
      <c r="E55" s="71"/>
      <c r="F55" s="71"/>
      <c r="G55" s="71"/>
      <c r="H55" s="71"/>
    </row>
    <row r="56" spans="3:8" ht="14.1" customHeight="1" x14ac:dyDescent="0.3">
      <c r="C56" s="71"/>
      <c r="D56" s="71"/>
      <c r="E56" s="71"/>
      <c r="F56" s="71"/>
      <c r="G56" s="71"/>
      <c r="H56" s="71"/>
    </row>
    <row r="57" spans="3:8" ht="14.1" customHeight="1" x14ac:dyDescent="0.3">
      <c r="C57" s="71"/>
      <c r="D57" s="71"/>
      <c r="E57" s="71"/>
      <c r="F57" s="71"/>
      <c r="G57" s="71"/>
      <c r="H57" s="71"/>
    </row>
    <row r="58" spans="3:8" ht="14.1" customHeight="1" x14ac:dyDescent="0.3">
      <c r="C58" s="71"/>
      <c r="D58" s="71"/>
      <c r="E58" s="71"/>
      <c r="F58" s="71"/>
      <c r="G58" s="71"/>
      <c r="H58" s="71"/>
    </row>
    <row r="59" spans="3:8" ht="14.1" customHeight="1" x14ac:dyDescent="0.3">
      <c r="C59" s="71"/>
      <c r="D59" s="71"/>
      <c r="E59" s="71"/>
      <c r="F59" s="71"/>
      <c r="G59" s="71"/>
      <c r="H59" s="71"/>
    </row>
    <row r="60" spans="3:8" ht="14.1" customHeight="1" x14ac:dyDescent="0.3">
      <c r="C60" s="71"/>
      <c r="D60" s="71"/>
      <c r="E60" s="71"/>
      <c r="F60" s="71"/>
      <c r="G60" s="71"/>
      <c r="H60" s="71"/>
    </row>
    <row r="61" spans="3:8" ht="14.1" customHeight="1" x14ac:dyDescent="0.3">
      <c r="C61" s="71"/>
      <c r="D61" s="71"/>
      <c r="E61" s="71"/>
      <c r="F61" s="71"/>
      <c r="G61" s="71"/>
      <c r="H61" s="71"/>
    </row>
    <row r="62" spans="3:8" ht="14.1" customHeight="1" x14ac:dyDescent="0.3">
      <c r="C62" s="71"/>
      <c r="D62" s="71"/>
      <c r="E62" s="71"/>
      <c r="F62" s="71"/>
      <c r="G62" s="71"/>
      <c r="H62" s="71"/>
    </row>
    <row r="63" spans="3:8" ht="14.1" customHeight="1" x14ac:dyDescent="0.3">
      <c r="C63" s="71"/>
      <c r="D63" s="71"/>
      <c r="E63" s="71"/>
      <c r="F63" s="71"/>
      <c r="G63" s="71"/>
      <c r="H63" s="71"/>
    </row>
    <row r="64" spans="3:8" ht="14.1" customHeight="1" x14ac:dyDescent="0.3">
      <c r="C64" s="71"/>
      <c r="D64" s="71"/>
      <c r="E64" s="71"/>
      <c r="F64" s="71"/>
      <c r="G64" s="71"/>
      <c r="H64" s="71"/>
    </row>
    <row r="65" spans="3:8" ht="14.1" customHeight="1" x14ac:dyDescent="0.3">
      <c r="C65" s="71"/>
      <c r="D65" s="71"/>
      <c r="E65" s="71"/>
      <c r="F65" s="71"/>
      <c r="G65" s="71"/>
      <c r="H65" s="71"/>
    </row>
    <row r="66" spans="3:8" ht="14.1" customHeight="1" x14ac:dyDescent="0.3">
      <c r="C66" s="71"/>
      <c r="D66" s="71"/>
      <c r="E66" s="71"/>
      <c r="F66" s="71"/>
      <c r="G66" s="71"/>
      <c r="H66" s="71"/>
    </row>
    <row r="67" spans="3:8" ht="14.1" customHeight="1" x14ac:dyDescent="0.3">
      <c r="C67" s="71"/>
      <c r="D67" s="71"/>
      <c r="E67" s="71"/>
      <c r="F67" s="71"/>
      <c r="G67" s="71"/>
      <c r="H67" s="71"/>
    </row>
    <row r="68" spans="3:8" ht="14.1" customHeight="1" x14ac:dyDescent="0.3">
      <c r="C68" s="71"/>
      <c r="D68" s="71"/>
      <c r="E68" s="71"/>
      <c r="F68" s="71"/>
      <c r="G68" s="71"/>
      <c r="H68" s="71"/>
    </row>
    <row r="69" spans="3:8" ht="14.1" customHeight="1" x14ac:dyDescent="0.3">
      <c r="C69" s="71"/>
      <c r="D69" s="71"/>
      <c r="E69" s="71"/>
      <c r="F69" s="71"/>
      <c r="G69" s="71"/>
      <c r="H69" s="71"/>
    </row>
    <row r="70" spans="3:8" ht="14.1" customHeight="1" x14ac:dyDescent="0.3">
      <c r="C70" s="71"/>
      <c r="D70" s="71"/>
      <c r="E70" s="71"/>
      <c r="F70" s="71"/>
      <c r="G70" s="71"/>
      <c r="H70" s="71"/>
    </row>
    <row r="71" spans="3:8" ht="14.1" customHeight="1" x14ac:dyDescent="0.3">
      <c r="C71" s="71"/>
      <c r="D71" s="71"/>
      <c r="E71" s="71"/>
      <c r="F71" s="71"/>
      <c r="G71" s="71"/>
      <c r="H71" s="71"/>
    </row>
    <row r="72" spans="3:8" ht="14.1" customHeight="1" x14ac:dyDescent="0.3">
      <c r="C72" s="71"/>
      <c r="D72" s="71"/>
      <c r="E72" s="71"/>
      <c r="F72" s="71"/>
      <c r="G72" s="71"/>
      <c r="H72" s="71"/>
    </row>
    <row r="73" spans="3:8" ht="14.1" customHeight="1" x14ac:dyDescent="0.3">
      <c r="C73" s="71"/>
      <c r="D73" s="71"/>
      <c r="E73" s="71"/>
      <c r="F73" s="71"/>
      <c r="G73" s="71"/>
      <c r="H73" s="71"/>
    </row>
    <row r="74" spans="3:8" ht="14.1" customHeight="1" x14ac:dyDescent="0.3">
      <c r="C74" s="71"/>
      <c r="D74" s="71"/>
      <c r="E74" s="71"/>
      <c r="F74" s="71"/>
      <c r="G74" s="71"/>
      <c r="H74" s="71"/>
    </row>
    <row r="75" spans="3:8" ht="14.1" customHeight="1" x14ac:dyDescent="0.3">
      <c r="C75" s="71"/>
      <c r="D75" s="71"/>
      <c r="E75" s="71"/>
      <c r="F75" s="71"/>
      <c r="G75" s="71"/>
      <c r="H75" s="71"/>
    </row>
    <row r="76" spans="3:8" ht="14.1" customHeight="1" x14ac:dyDescent="0.3">
      <c r="C76" s="71"/>
      <c r="D76" s="71"/>
      <c r="E76" s="71"/>
      <c r="F76" s="71"/>
      <c r="G76" s="71"/>
      <c r="H76" s="71"/>
    </row>
    <row r="77" spans="3:8" ht="14.1" customHeight="1" x14ac:dyDescent="0.3">
      <c r="C77" s="71"/>
      <c r="D77" s="71"/>
      <c r="E77" s="71"/>
      <c r="F77" s="71"/>
      <c r="G77" s="71"/>
      <c r="H77" s="71"/>
    </row>
    <row r="78" spans="3:8" ht="14.1" customHeight="1" x14ac:dyDescent="0.3">
      <c r="C78" s="71"/>
      <c r="D78" s="71"/>
      <c r="E78" s="71"/>
      <c r="F78" s="71"/>
      <c r="G78" s="71"/>
      <c r="H78" s="71"/>
    </row>
    <row r="79" spans="3:8" ht="14.1" customHeight="1" x14ac:dyDescent="0.3">
      <c r="C79" s="71"/>
      <c r="D79" s="71"/>
      <c r="E79" s="71"/>
      <c r="F79" s="71"/>
      <c r="G79" s="71"/>
      <c r="H79" s="71"/>
    </row>
    <row r="80" spans="3:8" ht="14.1" customHeight="1" x14ac:dyDescent="0.3">
      <c r="C80" s="71"/>
      <c r="D80" s="71"/>
      <c r="E80" s="71"/>
      <c r="F80" s="71"/>
      <c r="G80" s="71"/>
      <c r="H80" s="71"/>
    </row>
    <row r="81" spans="3:8" ht="14.1" customHeight="1" x14ac:dyDescent="0.3">
      <c r="C81" s="71"/>
      <c r="D81" s="71"/>
      <c r="E81" s="71"/>
      <c r="F81" s="71"/>
      <c r="G81" s="71"/>
      <c r="H81" s="71"/>
    </row>
    <row r="82" spans="3:8" ht="14.1" customHeight="1" x14ac:dyDescent="0.3">
      <c r="C82" s="71"/>
      <c r="D82" s="71"/>
      <c r="E82" s="71"/>
      <c r="F82" s="71"/>
      <c r="G82" s="71"/>
      <c r="H82" s="71"/>
    </row>
    <row r="83" spans="3:8" ht="14.1" customHeight="1" x14ac:dyDescent="0.3">
      <c r="C83" s="71"/>
      <c r="D83" s="71"/>
      <c r="E83" s="71"/>
      <c r="F83" s="71"/>
      <c r="G83" s="71"/>
      <c r="H83" s="71"/>
    </row>
    <row r="84" spans="3:8" ht="14.1" customHeight="1" x14ac:dyDescent="0.3">
      <c r="C84" s="71"/>
      <c r="D84" s="71"/>
      <c r="E84" s="71"/>
      <c r="F84" s="71"/>
      <c r="G84" s="71"/>
      <c r="H84" s="71"/>
    </row>
    <row r="85" spans="3:8" ht="14.1" customHeight="1" x14ac:dyDescent="0.3">
      <c r="C85" s="71"/>
      <c r="D85" s="71"/>
      <c r="E85" s="71"/>
      <c r="F85" s="71"/>
      <c r="G85" s="71"/>
      <c r="H85" s="71"/>
    </row>
    <row r="86" spans="3:8" ht="14.1" customHeight="1" x14ac:dyDescent="0.3">
      <c r="C86" s="71"/>
      <c r="D86" s="71"/>
      <c r="E86" s="71"/>
      <c r="F86" s="71"/>
      <c r="G86" s="71"/>
      <c r="H86" s="71"/>
    </row>
    <row r="87" spans="3:8" ht="14.1" customHeight="1" x14ac:dyDescent="0.3">
      <c r="C87" s="71"/>
      <c r="D87" s="71"/>
      <c r="E87" s="71"/>
      <c r="F87" s="71"/>
      <c r="G87" s="71"/>
      <c r="H87" s="71"/>
    </row>
    <row r="88" spans="3:8" ht="14.1" customHeight="1" x14ac:dyDescent="0.3">
      <c r="C88" s="71"/>
      <c r="D88" s="71"/>
      <c r="E88" s="71"/>
      <c r="F88" s="71"/>
      <c r="G88" s="71"/>
      <c r="H88" s="71"/>
    </row>
    <row r="89" spans="3:8" ht="14.1" customHeight="1" x14ac:dyDescent="0.3">
      <c r="C89" s="71"/>
      <c r="D89" s="71"/>
      <c r="E89" s="71"/>
      <c r="F89" s="71"/>
      <c r="G89" s="71"/>
      <c r="H89" s="71"/>
    </row>
    <row r="90" spans="3:8" ht="14.1" customHeight="1" x14ac:dyDescent="0.3">
      <c r="C90" s="71"/>
      <c r="D90" s="71"/>
      <c r="E90" s="71"/>
      <c r="F90" s="71"/>
      <c r="G90" s="71"/>
      <c r="H90" s="71"/>
    </row>
    <row r="91" spans="3:8" ht="14.1" customHeight="1" x14ac:dyDescent="0.3">
      <c r="C91" s="71"/>
      <c r="D91" s="71"/>
      <c r="E91" s="71"/>
      <c r="F91" s="71"/>
      <c r="G91" s="71"/>
      <c r="H91" s="71"/>
    </row>
    <row r="92" spans="3:8" ht="14.1" customHeight="1" x14ac:dyDescent="0.3">
      <c r="C92" s="71"/>
      <c r="D92" s="71"/>
      <c r="E92" s="71"/>
      <c r="F92" s="71"/>
      <c r="G92" s="71"/>
      <c r="H92" s="71"/>
    </row>
    <row r="93" spans="3:8" ht="14.1" customHeight="1" x14ac:dyDescent="0.3">
      <c r="C93" s="71"/>
      <c r="D93" s="71"/>
      <c r="E93" s="71"/>
      <c r="F93" s="71"/>
      <c r="G93" s="71"/>
      <c r="H93" s="71"/>
    </row>
    <row r="94" spans="3:8" ht="14.1" customHeight="1" x14ac:dyDescent="0.3">
      <c r="C94" s="71"/>
      <c r="D94" s="71"/>
      <c r="E94" s="71"/>
      <c r="F94" s="71"/>
      <c r="G94" s="71"/>
      <c r="H94" s="71"/>
    </row>
    <row r="95" spans="3:8" ht="14.1" customHeight="1" x14ac:dyDescent="0.3">
      <c r="C95" s="71"/>
      <c r="D95" s="71"/>
      <c r="E95" s="71"/>
      <c r="F95" s="71"/>
      <c r="G95" s="71"/>
      <c r="H95" s="71"/>
    </row>
    <row r="96" spans="3:8" ht="14.1" customHeight="1" x14ac:dyDescent="0.3">
      <c r="C96" s="71"/>
      <c r="D96" s="71"/>
      <c r="E96" s="71"/>
      <c r="F96" s="71"/>
      <c r="G96" s="71"/>
      <c r="H96" s="71"/>
    </row>
    <row r="97" spans="3:8" ht="14.1" customHeight="1" x14ac:dyDescent="0.3">
      <c r="C97" s="71"/>
      <c r="D97" s="71"/>
      <c r="E97" s="71"/>
      <c r="F97" s="71"/>
      <c r="G97" s="71"/>
      <c r="H97" s="71"/>
    </row>
    <row r="98" spans="3:8" ht="14.1" customHeight="1" x14ac:dyDescent="0.3">
      <c r="C98" s="71"/>
      <c r="D98" s="71"/>
      <c r="E98" s="71"/>
      <c r="F98" s="71"/>
      <c r="G98" s="71"/>
      <c r="H98" s="71"/>
    </row>
    <row r="99" spans="3:8" ht="14.1" customHeight="1" x14ac:dyDescent="0.3">
      <c r="C99" s="71"/>
      <c r="D99" s="71"/>
      <c r="E99" s="71"/>
      <c r="F99" s="71"/>
      <c r="G99" s="71"/>
      <c r="H99" s="71"/>
    </row>
    <row r="100" spans="3:8" ht="14.1" customHeight="1" x14ac:dyDescent="0.3">
      <c r="C100" s="71"/>
      <c r="D100" s="71"/>
      <c r="E100" s="71"/>
      <c r="F100" s="71"/>
      <c r="G100" s="71"/>
      <c r="H100" s="71"/>
    </row>
    <row r="101" spans="3:8" ht="14.1" customHeight="1" x14ac:dyDescent="0.3"/>
    <row r="102" spans="3:8" ht="14.1" customHeight="1" x14ac:dyDescent="0.3"/>
    <row r="103" spans="3:8" ht="14.1" customHeight="1" x14ac:dyDescent="0.3"/>
    <row r="104" spans="3:8" ht="14.1" customHeight="1" x14ac:dyDescent="0.3"/>
    <row r="105" spans="3:8" ht="14.1" customHeight="1" x14ac:dyDescent="0.3"/>
    <row r="106" spans="3:8" ht="14.1" customHeight="1" x14ac:dyDescent="0.3"/>
    <row r="107" spans="3:8" ht="14.1" customHeight="1" x14ac:dyDescent="0.3"/>
    <row r="108" spans="3:8" ht="14.1" customHeight="1" x14ac:dyDescent="0.3"/>
    <row r="109" spans="3:8" ht="14.1" customHeight="1" x14ac:dyDescent="0.3"/>
    <row r="110" spans="3:8" ht="14.1" customHeight="1" x14ac:dyDescent="0.3"/>
    <row r="111" spans="3:8" ht="14.1" customHeight="1" x14ac:dyDescent="0.3"/>
    <row r="112" spans="3:8" ht="14.1" customHeight="1" x14ac:dyDescent="0.3"/>
    <row r="113" ht="14.1" customHeight="1" x14ac:dyDescent="0.3"/>
    <row r="114" ht="14.1" customHeight="1" x14ac:dyDescent="0.3"/>
    <row r="115" ht="14.1" customHeight="1" x14ac:dyDescent="0.3"/>
    <row r="116" ht="14.1" customHeight="1" x14ac:dyDescent="0.3"/>
    <row r="117" ht="14.1" customHeight="1" x14ac:dyDescent="0.3"/>
    <row r="118" ht="14.1" customHeight="1" x14ac:dyDescent="0.3"/>
    <row r="119" ht="14.1" customHeight="1" x14ac:dyDescent="0.3"/>
    <row r="120" ht="14.1" customHeight="1" x14ac:dyDescent="0.3"/>
    <row r="121" ht="14.1" customHeight="1" x14ac:dyDescent="0.3"/>
    <row r="122" ht="14.1" customHeight="1" x14ac:dyDescent="0.3"/>
    <row r="123" ht="14.1" customHeight="1" x14ac:dyDescent="0.3"/>
    <row r="124" ht="14.1" customHeight="1" x14ac:dyDescent="0.3"/>
    <row r="125" ht="14.1" customHeight="1" x14ac:dyDescent="0.3"/>
    <row r="126" ht="14.1" customHeight="1" x14ac:dyDescent="0.3"/>
    <row r="127" ht="14.1" customHeight="1" x14ac:dyDescent="0.3"/>
    <row r="128" ht="14.1" customHeight="1" x14ac:dyDescent="0.3"/>
    <row r="129" ht="14.1" customHeight="1" x14ac:dyDescent="0.3"/>
    <row r="130" ht="14.1" customHeight="1" x14ac:dyDescent="0.3"/>
    <row r="131" ht="14.1" customHeight="1" x14ac:dyDescent="0.3"/>
    <row r="132" ht="14.1" customHeight="1" x14ac:dyDescent="0.3"/>
    <row r="133" ht="14.1" customHeight="1" x14ac:dyDescent="0.3"/>
    <row r="134" ht="14.1" customHeight="1" x14ac:dyDescent="0.3"/>
    <row r="135" ht="14.1" customHeight="1" x14ac:dyDescent="0.3"/>
    <row r="136" ht="14.1" customHeight="1" x14ac:dyDescent="0.3"/>
    <row r="137" ht="14.1" customHeight="1" x14ac:dyDescent="0.3"/>
    <row r="138" ht="14.1" customHeight="1" x14ac:dyDescent="0.3"/>
    <row r="139" ht="14.1" customHeight="1" x14ac:dyDescent="0.3"/>
    <row r="140" ht="14.1" customHeight="1" x14ac:dyDescent="0.3"/>
    <row r="141" ht="14.1" customHeight="1" x14ac:dyDescent="0.3"/>
    <row r="142" ht="14.1" customHeight="1" x14ac:dyDescent="0.3"/>
    <row r="143" ht="14.1" customHeight="1" x14ac:dyDescent="0.3"/>
    <row r="144" ht="14.1" customHeight="1" x14ac:dyDescent="0.3"/>
    <row r="145" ht="14.1" customHeight="1" x14ac:dyDescent="0.3"/>
    <row r="146" ht="14.1" customHeight="1" x14ac:dyDescent="0.3"/>
    <row r="147" ht="14.1" customHeight="1" x14ac:dyDescent="0.3"/>
    <row r="148" ht="14.1" customHeight="1" x14ac:dyDescent="0.3"/>
    <row r="149" ht="14.1" customHeight="1" x14ac:dyDescent="0.3"/>
    <row r="150" ht="14.1" customHeight="1" x14ac:dyDescent="0.3"/>
    <row r="151" ht="14.1" customHeight="1" x14ac:dyDescent="0.3"/>
    <row r="152" ht="14.1" customHeight="1" x14ac:dyDescent="0.3"/>
    <row r="153" ht="14.1" customHeight="1" x14ac:dyDescent="0.3"/>
    <row r="154" ht="14.1" customHeight="1" x14ac:dyDescent="0.3"/>
    <row r="155" ht="14.1" customHeight="1" x14ac:dyDescent="0.3"/>
    <row r="156" ht="14.1" customHeight="1" x14ac:dyDescent="0.3"/>
    <row r="157" ht="14.1" customHeight="1" x14ac:dyDescent="0.3"/>
    <row r="158" ht="14.1" customHeight="1" x14ac:dyDescent="0.3"/>
    <row r="159" ht="14.1" customHeight="1" x14ac:dyDescent="0.3"/>
    <row r="160" ht="14.1" customHeight="1" x14ac:dyDescent="0.3"/>
    <row r="161" ht="14.1" customHeight="1" x14ac:dyDescent="0.3"/>
    <row r="162" ht="14.1" customHeight="1" x14ac:dyDescent="0.3"/>
    <row r="163" ht="14.1" customHeight="1" x14ac:dyDescent="0.3"/>
    <row r="164" ht="14.1" customHeight="1" x14ac:dyDescent="0.3"/>
    <row r="165" ht="14.1" customHeight="1" x14ac:dyDescent="0.3"/>
    <row r="166" ht="14.1" customHeight="1" x14ac:dyDescent="0.3"/>
    <row r="167" ht="14.1" customHeight="1" x14ac:dyDescent="0.3"/>
    <row r="168" ht="14.1" customHeight="1" x14ac:dyDescent="0.3"/>
    <row r="169" ht="14.1" customHeight="1" x14ac:dyDescent="0.3"/>
    <row r="170" ht="14.1" customHeight="1" x14ac:dyDescent="0.3"/>
    <row r="171" ht="14.1" customHeight="1" x14ac:dyDescent="0.3"/>
    <row r="172" ht="14.1" customHeight="1" x14ac:dyDescent="0.3"/>
    <row r="173" ht="14.1" customHeight="1" x14ac:dyDescent="0.3"/>
    <row r="174" ht="14.1" customHeight="1" x14ac:dyDescent="0.3"/>
    <row r="175" ht="14.1" customHeight="1" x14ac:dyDescent="0.3"/>
    <row r="176" ht="14.1" customHeight="1" x14ac:dyDescent="0.3"/>
    <row r="177" ht="14.1" customHeight="1" x14ac:dyDescent="0.3"/>
    <row r="178" ht="14.1" customHeight="1" x14ac:dyDescent="0.3"/>
    <row r="179" ht="14.1" customHeight="1" x14ac:dyDescent="0.3"/>
    <row r="180" ht="14.1" customHeight="1" x14ac:dyDescent="0.3"/>
  </sheetData>
  <phoneticPr fontId="1" type="noConversion"/>
  <conditionalFormatting sqref="B5:H48">
    <cfRule type="expression" dxfId="17" priority="1">
      <formula>$B5&lt;&gt;""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5F114-B072-40EB-8854-9EE3D91139A1}">
  <dimension ref="A1:DB79"/>
  <sheetViews>
    <sheetView zoomScaleNormal="100" workbookViewId="0">
      <selection activeCell="H17" sqref="H17"/>
    </sheetView>
  </sheetViews>
  <sheetFormatPr defaultRowHeight="16.5" x14ac:dyDescent="0.3"/>
  <cols>
    <col min="1" max="1" width="4.625" style="76" customWidth="1"/>
    <col min="2" max="2" width="9.625" style="76" customWidth="1"/>
    <col min="3" max="3" width="4.625" style="76" customWidth="1"/>
    <col min="4" max="4" width="46.5" style="85" customWidth="1"/>
    <col min="5" max="5" width="6.75" style="76" customWidth="1"/>
    <col min="6" max="6" width="5.625" style="85" customWidth="1"/>
  </cols>
  <sheetData>
    <row r="1" spans="1:106" x14ac:dyDescent="0.3">
      <c r="A1" s="73"/>
      <c r="B1" s="73"/>
      <c r="C1" s="73"/>
      <c r="D1" s="74"/>
      <c r="E1" s="73"/>
      <c r="F1" s="74"/>
    </row>
    <row r="2" spans="1:106" ht="17.25" x14ac:dyDescent="0.3">
      <c r="A2" s="75" t="s">
        <v>343</v>
      </c>
      <c r="C2" s="77"/>
      <c r="D2" s="78"/>
      <c r="E2" s="77"/>
      <c r="F2" s="1"/>
    </row>
    <row r="3" spans="1:106" x14ac:dyDescent="0.3">
      <c r="A3" s="79"/>
      <c r="B3" s="80"/>
      <c r="C3" s="80"/>
      <c r="D3" s="81"/>
      <c r="E3" s="80"/>
      <c r="F3" s="1"/>
    </row>
    <row r="4" spans="1:106" ht="22.5" x14ac:dyDescent="0.3">
      <c r="A4" s="82"/>
      <c r="B4" s="83" t="s">
        <v>267</v>
      </c>
      <c r="C4" s="83" t="s">
        <v>11</v>
      </c>
      <c r="D4" s="83" t="s">
        <v>12</v>
      </c>
      <c r="E4" s="83" t="s">
        <v>13</v>
      </c>
      <c r="F4" s="84" t="s">
        <v>268</v>
      </c>
    </row>
    <row r="5" spans="1:106" ht="11.1" customHeight="1" x14ac:dyDescent="0.3">
      <c r="B5" s="156" t="s">
        <v>14</v>
      </c>
      <c r="C5" s="86" t="s">
        <v>26</v>
      </c>
      <c r="D5" s="94" t="s">
        <v>99</v>
      </c>
      <c r="E5" s="95" t="s">
        <v>15</v>
      </c>
      <c r="F5" s="101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</row>
    <row r="6" spans="1:106" ht="11.1" customHeight="1" x14ac:dyDescent="0.3">
      <c r="B6" s="157"/>
      <c r="C6" s="87" t="s">
        <v>27</v>
      </c>
      <c r="D6" s="91" t="s">
        <v>102</v>
      </c>
      <c r="E6" s="96" t="s">
        <v>15</v>
      </c>
      <c r="F6" s="101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</row>
    <row r="7" spans="1:106" ht="11.1" customHeight="1" x14ac:dyDescent="0.3">
      <c r="B7" s="157"/>
      <c r="C7" s="87" t="s">
        <v>28</v>
      </c>
      <c r="D7" s="91" t="s">
        <v>104</v>
      </c>
      <c r="E7" s="96" t="s">
        <v>15</v>
      </c>
      <c r="F7" s="101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</row>
    <row r="8" spans="1:106" ht="11.1" customHeight="1" x14ac:dyDescent="0.3">
      <c r="B8" s="157"/>
      <c r="C8" s="87" t="s">
        <v>29</v>
      </c>
      <c r="D8" s="91" t="s">
        <v>105</v>
      </c>
      <c r="E8" s="96" t="s">
        <v>15</v>
      </c>
      <c r="F8" s="101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</row>
    <row r="9" spans="1:106" ht="11.1" customHeight="1" x14ac:dyDescent="0.3">
      <c r="B9" s="157"/>
      <c r="C9" s="87" t="s">
        <v>30</v>
      </c>
      <c r="D9" s="91" t="s">
        <v>106</v>
      </c>
      <c r="E9" s="96" t="s">
        <v>16</v>
      </c>
      <c r="F9" s="101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</row>
    <row r="10" spans="1:106" ht="11.1" customHeight="1" x14ac:dyDescent="0.3">
      <c r="B10" s="157"/>
      <c r="C10" s="87" t="s">
        <v>31</v>
      </c>
      <c r="D10" s="91" t="s">
        <v>107</v>
      </c>
      <c r="E10" s="96" t="s">
        <v>15</v>
      </c>
      <c r="F10" s="101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</row>
    <row r="11" spans="1:106" ht="11.1" customHeight="1" x14ac:dyDescent="0.3">
      <c r="B11" s="157"/>
      <c r="C11" s="87" t="s">
        <v>32</v>
      </c>
      <c r="D11" s="91" t="s">
        <v>108</v>
      </c>
      <c r="E11" s="96" t="s">
        <v>17</v>
      </c>
      <c r="F11" s="101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</row>
    <row r="12" spans="1:106" ht="11.1" customHeight="1" x14ac:dyDescent="0.3">
      <c r="B12" s="157"/>
      <c r="C12" s="87" t="s">
        <v>33</v>
      </c>
      <c r="D12" s="91" t="s">
        <v>109</v>
      </c>
      <c r="E12" s="96" t="s">
        <v>16</v>
      </c>
      <c r="F12" s="101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</row>
    <row r="13" spans="1:106" ht="11.1" customHeight="1" x14ac:dyDescent="0.3">
      <c r="B13" s="157"/>
      <c r="C13" s="87" t="s">
        <v>34</v>
      </c>
      <c r="D13" s="91" t="s">
        <v>110</v>
      </c>
      <c r="E13" s="96" t="s">
        <v>17</v>
      </c>
      <c r="F13" s="101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</row>
    <row r="14" spans="1:106" ht="11.1" customHeight="1" x14ac:dyDescent="0.3">
      <c r="B14" s="157"/>
      <c r="C14" s="87" t="s">
        <v>35</v>
      </c>
      <c r="D14" s="91" t="s">
        <v>111</v>
      </c>
      <c r="E14" s="96" t="s">
        <v>16</v>
      </c>
      <c r="F14" s="101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</row>
    <row r="15" spans="1:106" ht="11.1" customHeight="1" x14ac:dyDescent="0.3">
      <c r="B15" s="157"/>
      <c r="C15" s="87" t="s">
        <v>36</v>
      </c>
      <c r="D15" s="91" t="s">
        <v>113</v>
      </c>
      <c r="E15" s="96" t="s">
        <v>17</v>
      </c>
      <c r="F15" s="101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</row>
    <row r="16" spans="1:106" ht="11.1" customHeight="1" x14ac:dyDescent="0.3">
      <c r="B16" s="157"/>
      <c r="C16" s="87" t="s">
        <v>37</v>
      </c>
      <c r="D16" s="91" t="s">
        <v>115</v>
      </c>
      <c r="E16" s="96" t="s">
        <v>17</v>
      </c>
      <c r="F16" s="101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</row>
    <row r="17" spans="2:106" ht="11.1" customHeight="1" x14ac:dyDescent="0.3">
      <c r="B17" s="158"/>
      <c r="C17" s="88" t="s">
        <v>38</v>
      </c>
      <c r="D17" s="92" t="s">
        <v>116</v>
      </c>
      <c r="E17" s="97" t="s">
        <v>16</v>
      </c>
      <c r="F17" s="101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</row>
    <row r="18" spans="2:106" ht="11.1" customHeight="1" x14ac:dyDescent="0.3">
      <c r="B18" s="156" t="s">
        <v>18</v>
      </c>
      <c r="C18" s="86" t="s">
        <v>39</v>
      </c>
      <c r="D18" s="94" t="s">
        <v>117</v>
      </c>
      <c r="E18" s="95" t="s">
        <v>15</v>
      </c>
      <c r="F18" s="101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</row>
    <row r="19" spans="2:106" ht="11.1" customHeight="1" x14ac:dyDescent="0.3">
      <c r="B19" s="157"/>
      <c r="C19" s="87" t="s">
        <v>40</v>
      </c>
      <c r="D19" s="91" t="s">
        <v>118</v>
      </c>
      <c r="E19" s="96" t="s">
        <v>15</v>
      </c>
      <c r="F19" s="101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</row>
    <row r="20" spans="2:106" ht="11.1" customHeight="1" x14ac:dyDescent="0.3">
      <c r="B20" s="157"/>
      <c r="C20" s="87" t="s">
        <v>41</v>
      </c>
      <c r="D20" s="91" t="s">
        <v>119</v>
      </c>
      <c r="E20" s="96" t="s">
        <v>15</v>
      </c>
      <c r="F20" s="101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</row>
    <row r="21" spans="2:106" ht="11.1" customHeight="1" x14ac:dyDescent="0.3">
      <c r="B21" s="157"/>
      <c r="C21" s="87" t="s">
        <v>42</v>
      </c>
      <c r="D21" s="91" t="s">
        <v>120</v>
      </c>
      <c r="E21" s="96" t="s">
        <v>15</v>
      </c>
      <c r="F21" s="101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</row>
    <row r="22" spans="2:106" ht="11.1" customHeight="1" x14ac:dyDescent="0.3">
      <c r="B22" s="157"/>
      <c r="C22" s="87" t="s">
        <v>43</v>
      </c>
      <c r="D22" s="91" t="s">
        <v>121</v>
      </c>
      <c r="E22" s="96" t="s">
        <v>15</v>
      </c>
      <c r="F22" s="101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</row>
    <row r="23" spans="2:106" ht="11.1" customHeight="1" x14ac:dyDescent="0.3">
      <c r="B23" s="157"/>
      <c r="C23" s="87" t="s">
        <v>44</v>
      </c>
      <c r="D23" s="91" t="s">
        <v>122</v>
      </c>
      <c r="E23" s="96" t="s">
        <v>15</v>
      </c>
      <c r="F23" s="101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</row>
    <row r="24" spans="2:106" ht="11.1" customHeight="1" x14ac:dyDescent="0.3">
      <c r="B24" s="157"/>
      <c r="C24" s="87" t="s">
        <v>45</v>
      </c>
      <c r="D24" s="91" t="s">
        <v>123</v>
      </c>
      <c r="E24" s="96" t="s">
        <v>15</v>
      </c>
      <c r="F24" s="101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</row>
    <row r="25" spans="2:106" ht="11.1" customHeight="1" x14ac:dyDescent="0.3">
      <c r="B25" s="157"/>
      <c r="C25" s="87" t="s">
        <v>46</v>
      </c>
      <c r="D25" s="91" t="s">
        <v>124</v>
      </c>
      <c r="E25" s="96" t="s">
        <v>15</v>
      </c>
      <c r="F25" s="101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</row>
    <row r="26" spans="2:106" ht="11.1" customHeight="1" x14ac:dyDescent="0.3">
      <c r="B26" s="157"/>
      <c r="C26" s="87" t="s">
        <v>47</v>
      </c>
      <c r="D26" s="91" t="s">
        <v>125</v>
      </c>
      <c r="E26" s="96" t="s">
        <v>15</v>
      </c>
      <c r="F26" s="101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</row>
    <row r="27" spans="2:106" ht="11.1" customHeight="1" x14ac:dyDescent="0.3">
      <c r="B27" s="157"/>
      <c r="C27" s="87" t="s">
        <v>48</v>
      </c>
      <c r="D27" s="91" t="s">
        <v>126</v>
      </c>
      <c r="E27" s="96" t="s">
        <v>15</v>
      </c>
      <c r="F27" s="101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</row>
    <row r="28" spans="2:106" ht="11.1" customHeight="1" x14ac:dyDescent="0.3">
      <c r="B28" s="157"/>
      <c r="C28" s="87" t="s">
        <v>49</v>
      </c>
      <c r="D28" s="91" t="s">
        <v>127</v>
      </c>
      <c r="E28" s="96" t="s">
        <v>15</v>
      </c>
      <c r="F28" s="101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</row>
    <row r="29" spans="2:106" ht="11.1" customHeight="1" x14ac:dyDescent="0.3">
      <c r="B29" s="157"/>
      <c r="C29" s="87" t="s">
        <v>50</v>
      </c>
      <c r="D29" s="91" t="s">
        <v>128</v>
      </c>
      <c r="E29" s="96" t="s">
        <v>15</v>
      </c>
      <c r="F29" s="101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</row>
    <row r="30" spans="2:106" ht="11.1" customHeight="1" x14ac:dyDescent="0.3">
      <c r="B30" s="157"/>
      <c r="C30" s="87" t="s">
        <v>51</v>
      </c>
      <c r="D30" s="91" t="s">
        <v>129</v>
      </c>
      <c r="E30" s="96" t="s">
        <v>15</v>
      </c>
      <c r="F30" s="101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</row>
    <row r="31" spans="2:106" ht="11.1" customHeight="1" x14ac:dyDescent="0.3">
      <c r="B31" s="157"/>
      <c r="C31" s="87" t="s">
        <v>52</v>
      </c>
      <c r="D31" s="91" t="s">
        <v>130</v>
      </c>
      <c r="E31" s="96" t="s">
        <v>15</v>
      </c>
      <c r="F31" s="101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</row>
    <row r="32" spans="2:106" ht="11.1" customHeight="1" x14ac:dyDescent="0.3">
      <c r="B32" s="157"/>
      <c r="C32" s="87" t="s">
        <v>53</v>
      </c>
      <c r="D32" s="91" t="s">
        <v>131</v>
      </c>
      <c r="E32" s="96" t="s">
        <v>15</v>
      </c>
      <c r="F32" s="101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</row>
    <row r="33" spans="2:106" ht="11.1" customHeight="1" x14ac:dyDescent="0.3">
      <c r="B33" s="157"/>
      <c r="C33" s="87" t="s">
        <v>54</v>
      </c>
      <c r="D33" s="91" t="s">
        <v>132</v>
      </c>
      <c r="E33" s="96" t="s">
        <v>17</v>
      </c>
      <c r="F33" s="101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</row>
    <row r="34" spans="2:106" ht="11.1" customHeight="1" x14ac:dyDescent="0.3">
      <c r="B34" s="157"/>
      <c r="C34" s="87" t="s">
        <v>55</v>
      </c>
      <c r="D34" s="91" t="s">
        <v>133</v>
      </c>
      <c r="E34" s="96" t="s">
        <v>16</v>
      </c>
      <c r="F34" s="101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</row>
    <row r="35" spans="2:106" ht="11.1" customHeight="1" x14ac:dyDescent="0.3">
      <c r="B35" s="157"/>
      <c r="C35" s="87" t="s">
        <v>56</v>
      </c>
      <c r="D35" s="91" t="s">
        <v>134</v>
      </c>
      <c r="E35" s="96" t="s">
        <v>16</v>
      </c>
      <c r="F35" s="101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</row>
    <row r="36" spans="2:106" ht="11.1" customHeight="1" x14ac:dyDescent="0.3">
      <c r="B36" s="157"/>
      <c r="C36" s="87" t="s">
        <v>57</v>
      </c>
      <c r="D36" s="91" t="s">
        <v>135</v>
      </c>
      <c r="E36" s="96" t="s">
        <v>16</v>
      </c>
      <c r="F36" s="101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</row>
    <row r="37" spans="2:106" ht="11.1" customHeight="1" x14ac:dyDescent="0.3">
      <c r="B37" s="158"/>
      <c r="C37" s="88" t="s">
        <v>58</v>
      </c>
      <c r="D37" s="92" t="s">
        <v>136</v>
      </c>
      <c r="E37" s="97" t="s">
        <v>17</v>
      </c>
      <c r="F37" s="101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</row>
    <row r="38" spans="2:106" ht="11.1" customHeight="1" x14ac:dyDescent="0.3">
      <c r="B38" s="156" t="s">
        <v>19</v>
      </c>
      <c r="C38" s="86" t="s">
        <v>59</v>
      </c>
      <c r="D38" s="94" t="s">
        <v>137</v>
      </c>
      <c r="E38" s="95" t="s">
        <v>15</v>
      </c>
      <c r="F38" s="101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</row>
    <row r="39" spans="2:106" ht="11.1" customHeight="1" x14ac:dyDescent="0.3">
      <c r="B39" s="157"/>
      <c r="C39" s="87" t="s">
        <v>60</v>
      </c>
      <c r="D39" s="91" t="s">
        <v>138</v>
      </c>
      <c r="E39" s="96" t="s">
        <v>15</v>
      </c>
      <c r="F39" s="101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</row>
    <row r="40" spans="2:106" ht="11.1" customHeight="1" x14ac:dyDescent="0.3">
      <c r="B40" s="157"/>
      <c r="C40" s="87" t="s">
        <v>61</v>
      </c>
      <c r="D40" s="91" t="s">
        <v>139</v>
      </c>
      <c r="E40" s="96" t="s">
        <v>15</v>
      </c>
      <c r="F40" s="101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</row>
    <row r="41" spans="2:106" ht="11.1" customHeight="1" x14ac:dyDescent="0.3">
      <c r="B41" s="157"/>
      <c r="C41" s="87" t="s">
        <v>62</v>
      </c>
      <c r="D41" s="91" t="s">
        <v>140</v>
      </c>
      <c r="E41" s="96" t="s">
        <v>15</v>
      </c>
      <c r="F41" s="101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</row>
    <row r="42" spans="2:106" ht="11.1" customHeight="1" x14ac:dyDescent="0.3">
      <c r="B42" s="157"/>
      <c r="C42" s="87" t="s">
        <v>63</v>
      </c>
      <c r="D42" s="91" t="s">
        <v>141</v>
      </c>
      <c r="E42" s="96" t="s">
        <v>15</v>
      </c>
      <c r="F42" s="101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</row>
    <row r="43" spans="2:106" ht="11.1" customHeight="1" x14ac:dyDescent="0.3">
      <c r="B43" s="157"/>
      <c r="C43" s="87" t="s">
        <v>64</v>
      </c>
      <c r="D43" s="91" t="s">
        <v>142</v>
      </c>
      <c r="E43" s="96" t="s">
        <v>15</v>
      </c>
      <c r="F43" s="101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</row>
    <row r="44" spans="2:106" ht="11.1" customHeight="1" x14ac:dyDescent="0.3">
      <c r="B44" s="157"/>
      <c r="C44" s="87" t="s">
        <v>65</v>
      </c>
      <c r="D44" s="91" t="s">
        <v>144</v>
      </c>
      <c r="E44" s="96" t="s">
        <v>15</v>
      </c>
      <c r="F44" s="101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</row>
    <row r="45" spans="2:106" ht="11.1" customHeight="1" x14ac:dyDescent="0.3">
      <c r="B45" s="157"/>
      <c r="C45" s="87" t="s">
        <v>66</v>
      </c>
      <c r="D45" s="91" t="s">
        <v>145</v>
      </c>
      <c r="E45" s="96" t="s">
        <v>15</v>
      </c>
      <c r="F45" s="101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</row>
    <row r="46" spans="2:106" ht="11.1" customHeight="1" x14ac:dyDescent="0.3">
      <c r="B46" s="157"/>
      <c r="C46" s="87" t="s">
        <v>67</v>
      </c>
      <c r="D46" s="91" t="s">
        <v>146</v>
      </c>
      <c r="E46" s="96" t="s">
        <v>15</v>
      </c>
      <c r="F46" s="101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</row>
    <row r="47" spans="2:106" ht="11.1" customHeight="1" x14ac:dyDescent="0.3">
      <c r="B47" s="157"/>
      <c r="C47" s="87" t="s">
        <v>68</v>
      </c>
      <c r="D47" s="91" t="s">
        <v>147</v>
      </c>
      <c r="E47" s="96" t="s">
        <v>15</v>
      </c>
      <c r="F47" s="101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</row>
    <row r="48" spans="2:106" ht="11.1" customHeight="1" x14ac:dyDescent="0.3">
      <c r="B48" s="157"/>
      <c r="C48" s="87" t="s">
        <v>69</v>
      </c>
      <c r="D48" s="91" t="s">
        <v>148</v>
      </c>
      <c r="E48" s="96" t="s">
        <v>15</v>
      </c>
      <c r="F48" s="101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</row>
    <row r="49" spans="2:106" ht="11.1" customHeight="1" x14ac:dyDescent="0.3">
      <c r="B49" s="157"/>
      <c r="C49" s="87" t="s">
        <v>70</v>
      </c>
      <c r="D49" s="91" t="s">
        <v>149</v>
      </c>
      <c r="E49" s="96" t="s">
        <v>15</v>
      </c>
      <c r="F49" s="101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</row>
    <row r="50" spans="2:106" ht="11.1" customHeight="1" x14ac:dyDescent="0.3">
      <c r="B50" s="157"/>
      <c r="C50" s="87" t="s">
        <v>71</v>
      </c>
      <c r="D50" s="91" t="s">
        <v>151</v>
      </c>
      <c r="E50" s="96" t="s">
        <v>15</v>
      </c>
      <c r="F50" s="101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</row>
    <row r="51" spans="2:106" ht="11.1" customHeight="1" x14ac:dyDescent="0.3">
      <c r="B51" s="157"/>
      <c r="C51" s="87" t="s">
        <v>72</v>
      </c>
      <c r="D51" s="91" t="s">
        <v>152</v>
      </c>
      <c r="E51" s="96" t="s">
        <v>15</v>
      </c>
      <c r="F51" s="101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</row>
    <row r="52" spans="2:106" ht="11.1" customHeight="1" x14ac:dyDescent="0.3">
      <c r="B52" s="157"/>
      <c r="C52" s="87" t="s">
        <v>73</v>
      </c>
      <c r="D52" s="91" t="s">
        <v>153</v>
      </c>
      <c r="E52" s="96" t="s">
        <v>16</v>
      </c>
      <c r="F52" s="101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</row>
    <row r="53" spans="2:106" ht="11.1" customHeight="1" x14ac:dyDescent="0.3">
      <c r="B53" s="157"/>
      <c r="C53" s="87" t="s">
        <v>74</v>
      </c>
      <c r="D53" s="91" t="s">
        <v>155</v>
      </c>
      <c r="E53" s="96" t="s">
        <v>15</v>
      </c>
      <c r="F53" s="101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</row>
    <row r="54" spans="2:106" ht="11.1" customHeight="1" x14ac:dyDescent="0.3">
      <c r="B54" s="157"/>
      <c r="C54" s="87" t="s">
        <v>75</v>
      </c>
      <c r="D54" s="91" t="s">
        <v>157</v>
      </c>
      <c r="E54" s="96" t="s">
        <v>15</v>
      </c>
      <c r="F54" s="101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</row>
    <row r="55" spans="2:106" ht="11.1" customHeight="1" x14ac:dyDescent="0.3">
      <c r="B55" s="157"/>
      <c r="C55" s="87" t="s">
        <v>76</v>
      </c>
      <c r="D55" s="91" t="s">
        <v>159</v>
      </c>
      <c r="E55" s="96" t="s">
        <v>16</v>
      </c>
      <c r="F55" s="101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</row>
    <row r="56" spans="2:106" ht="11.1" customHeight="1" x14ac:dyDescent="0.3">
      <c r="B56" s="157"/>
      <c r="C56" s="87" t="s">
        <v>77</v>
      </c>
      <c r="D56" s="91" t="s">
        <v>160</v>
      </c>
      <c r="E56" s="96" t="s">
        <v>16</v>
      </c>
      <c r="F56" s="101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</row>
    <row r="57" spans="2:106" ht="11.1" customHeight="1" x14ac:dyDescent="0.3">
      <c r="B57" s="157"/>
      <c r="C57" s="87" t="s">
        <v>78</v>
      </c>
      <c r="D57" s="91" t="s">
        <v>161</v>
      </c>
      <c r="E57" s="96" t="s">
        <v>17</v>
      </c>
      <c r="F57" s="101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</row>
    <row r="58" spans="2:106" ht="11.1" customHeight="1" x14ac:dyDescent="0.3">
      <c r="B58" s="157"/>
      <c r="C58" s="87" t="s">
        <v>79</v>
      </c>
      <c r="D58" s="91" t="s">
        <v>162</v>
      </c>
      <c r="E58" s="96" t="s">
        <v>16</v>
      </c>
      <c r="F58" s="101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</row>
    <row r="59" spans="2:106" ht="11.1" customHeight="1" x14ac:dyDescent="0.3">
      <c r="B59" s="157"/>
      <c r="C59" s="87" t="s">
        <v>80</v>
      </c>
      <c r="D59" s="91" t="s">
        <v>163</v>
      </c>
      <c r="E59" s="96" t="s">
        <v>16</v>
      </c>
      <c r="F59" s="101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</row>
    <row r="60" spans="2:106" ht="11.1" customHeight="1" x14ac:dyDescent="0.3">
      <c r="B60" s="157"/>
      <c r="C60" s="87" t="s">
        <v>81</v>
      </c>
      <c r="D60" s="91" t="s">
        <v>165</v>
      </c>
      <c r="E60" s="96" t="s">
        <v>17</v>
      </c>
      <c r="F60" s="101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</row>
    <row r="61" spans="2:106" ht="11.1" customHeight="1" x14ac:dyDescent="0.3">
      <c r="B61" s="157"/>
      <c r="C61" s="87" t="s">
        <v>82</v>
      </c>
      <c r="D61" s="91" t="s">
        <v>167</v>
      </c>
      <c r="E61" s="96" t="s">
        <v>16</v>
      </c>
      <c r="F61" s="101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</row>
    <row r="62" spans="2:106" ht="11.1" customHeight="1" x14ac:dyDescent="0.3">
      <c r="B62" s="157"/>
      <c r="C62" s="87" t="s">
        <v>83</v>
      </c>
      <c r="D62" s="91" t="s">
        <v>168</v>
      </c>
      <c r="E62" s="96" t="s">
        <v>16</v>
      </c>
      <c r="F62" s="101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</row>
    <row r="63" spans="2:106" ht="11.1" customHeight="1" x14ac:dyDescent="0.3">
      <c r="B63" s="157"/>
      <c r="C63" s="87" t="s">
        <v>84</v>
      </c>
      <c r="D63" s="91" t="s">
        <v>170</v>
      </c>
      <c r="E63" s="96" t="s">
        <v>15</v>
      </c>
      <c r="F63" s="101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</row>
    <row r="64" spans="2:106" ht="11.1" customHeight="1" x14ac:dyDescent="0.3">
      <c r="B64" s="157"/>
      <c r="C64" s="87" t="s">
        <v>85</v>
      </c>
      <c r="D64" s="91" t="s">
        <v>172</v>
      </c>
      <c r="E64" s="96" t="s">
        <v>16</v>
      </c>
      <c r="F64" s="101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</row>
    <row r="65" spans="2:106" ht="11.1" customHeight="1" x14ac:dyDescent="0.3">
      <c r="B65" s="157"/>
      <c r="C65" s="87" t="s">
        <v>86</v>
      </c>
      <c r="D65" s="91" t="s">
        <v>173</v>
      </c>
      <c r="E65" s="96" t="s">
        <v>15</v>
      </c>
      <c r="F65" s="101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</row>
    <row r="66" spans="2:106" ht="11.1" customHeight="1" x14ac:dyDescent="0.3">
      <c r="B66" s="157"/>
      <c r="C66" s="87" t="s">
        <v>87</v>
      </c>
      <c r="D66" s="91" t="s">
        <v>174</v>
      </c>
      <c r="E66" s="96" t="s">
        <v>17</v>
      </c>
      <c r="F66" s="101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</row>
    <row r="67" spans="2:106" ht="11.1" customHeight="1" x14ac:dyDescent="0.3">
      <c r="B67" s="158"/>
      <c r="C67" s="88" t="s">
        <v>88</v>
      </c>
      <c r="D67" s="92" t="s">
        <v>175</v>
      </c>
      <c r="E67" s="97" t="s">
        <v>16</v>
      </c>
      <c r="F67" s="101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</row>
    <row r="68" spans="2:106" ht="11.1" customHeight="1" x14ac:dyDescent="0.3">
      <c r="B68" s="89" t="s">
        <v>20</v>
      </c>
      <c r="C68" s="90" t="s">
        <v>89</v>
      </c>
      <c r="D68" s="93" t="s">
        <v>176</v>
      </c>
      <c r="E68" s="98" t="s">
        <v>15</v>
      </c>
      <c r="F68" s="101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</row>
    <row r="69" spans="2:106" ht="11.1" customHeight="1" x14ac:dyDescent="0.3">
      <c r="B69" s="156" t="s">
        <v>21</v>
      </c>
      <c r="C69" s="86" t="s">
        <v>90</v>
      </c>
      <c r="D69" s="94" t="s">
        <v>177</v>
      </c>
      <c r="E69" s="95" t="s">
        <v>16</v>
      </c>
      <c r="F69" s="101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</row>
    <row r="70" spans="2:106" ht="11.1" customHeight="1" x14ac:dyDescent="0.3">
      <c r="B70" s="157"/>
      <c r="C70" s="87" t="s">
        <v>91</v>
      </c>
      <c r="D70" s="91" t="s">
        <v>178</v>
      </c>
      <c r="E70" s="96" t="s">
        <v>16</v>
      </c>
      <c r="F70" s="101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</row>
    <row r="71" spans="2:106" ht="11.1" customHeight="1" x14ac:dyDescent="0.3">
      <c r="B71" s="158"/>
      <c r="C71" s="88" t="s">
        <v>92</v>
      </c>
      <c r="D71" s="92" t="s">
        <v>179</v>
      </c>
      <c r="E71" s="97" t="s">
        <v>16</v>
      </c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</row>
    <row r="72" spans="2:106" ht="11.1" customHeight="1" x14ac:dyDescent="0.3">
      <c r="E72" s="99" t="s">
        <v>269</v>
      </c>
      <c r="F72" s="101"/>
    </row>
    <row r="73" spans="2:106" ht="11.1" customHeight="1" x14ac:dyDescent="0.3">
      <c r="E73" s="99" t="s">
        <v>15</v>
      </c>
      <c r="F73" s="101"/>
    </row>
    <row r="74" spans="2:106" ht="11.1" customHeight="1" x14ac:dyDescent="0.3">
      <c r="E74" s="99" t="s">
        <v>16</v>
      </c>
      <c r="F74" s="101"/>
    </row>
    <row r="75" spans="2:106" ht="11.1" customHeight="1" x14ac:dyDescent="0.3">
      <c r="E75" s="99" t="s">
        <v>17</v>
      </c>
      <c r="F75" s="101"/>
    </row>
    <row r="76" spans="2:106" ht="11.1" customHeight="1" x14ac:dyDescent="0.3">
      <c r="E76" s="99" t="s">
        <v>270</v>
      </c>
      <c r="F76" s="101"/>
    </row>
    <row r="77" spans="2:106" ht="11.1" customHeight="1" x14ac:dyDescent="0.3"/>
    <row r="78" spans="2:106" ht="11.1" customHeight="1" x14ac:dyDescent="0.3"/>
    <row r="79" spans="2:106" ht="11.1" customHeight="1" x14ac:dyDescent="0.3"/>
  </sheetData>
  <mergeCells count="4">
    <mergeCell ref="B69:B71"/>
    <mergeCell ref="B38:B67"/>
    <mergeCell ref="B18:B37"/>
    <mergeCell ref="B5:B17"/>
  </mergeCells>
  <phoneticPr fontId="1" type="noConversion"/>
  <conditionalFormatting sqref="G5:DW71">
    <cfRule type="cellIs" dxfId="16" priority="1" operator="equal">
      <formula>"수동점검"</formula>
    </cfRule>
    <cfRule type="cellIs" dxfId="15" priority="2" operator="equal">
      <formula>"N/A"</formula>
    </cfRule>
    <cfRule type="cellIs" dxfId="14" priority="3" operator="equal">
      <formula>"취약"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61156-469B-4451-96A2-8B194709981F}">
  <dimension ref="A1:V96"/>
  <sheetViews>
    <sheetView zoomScale="85" zoomScaleNormal="85" workbookViewId="0">
      <selection activeCell="G12" sqref="G12"/>
    </sheetView>
  </sheetViews>
  <sheetFormatPr defaultRowHeight="16.5" x14ac:dyDescent="0.3"/>
  <cols>
    <col min="1" max="1" width="3.625" style="8" customWidth="1"/>
    <col min="2" max="2" width="15.75" style="8" customWidth="1"/>
    <col min="3" max="3" width="7" style="8" bestFit="1" customWidth="1"/>
    <col min="4" max="4" width="46.75" style="8" bestFit="1" customWidth="1"/>
    <col min="5" max="5" width="14.375" style="8" bestFit="1" customWidth="1"/>
    <col min="6" max="6" width="7.125" style="8" customWidth="1"/>
    <col min="7" max="7" width="63" style="8" customWidth="1"/>
    <col min="8" max="8" width="25.625" style="8" customWidth="1"/>
  </cols>
  <sheetData>
    <row r="1" spans="1:18" s="8" customFormat="1" ht="16.5" customHeight="1" x14ac:dyDescent="0.3">
      <c r="A1" s="4" t="s">
        <v>340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spans="1:18" s="8" customFormat="1" ht="16.5" customHeight="1" x14ac:dyDescent="0.3">
      <c r="A2" s="5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spans="1:18" x14ac:dyDescent="0.3">
      <c r="A3" s="5"/>
      <c r="B3" s="12" t="s">
        <v>10</v>
      </c>
      <c r="C3" s="12" t="s">
        <v>11</v>
      </c>
      <c r="D3" s="124" t="s">
        <v>12</v>
      </c>
      <c r="E3" s="124"/>
      <c r="F3" s="12" t="s">
        <v>13</v>
      </c>
      <c r="G3" s="102" t="s">
        <v>271</v>
      </c>
      <c r="H3" s="102" t="s">
        <v>5</v>
      </c>
      <c r="I3" s="5"/>
      <c r="J3" s="5"/>
      <c r="K3" s="5"/>
      <c r="L3" s="5"/>
      <c r="M3" s="5"/>
      <c r="N3" s="5"/>
      <c r="O3" s="5"/>
      <c r="P3" s="5"/>
      <c r="Q3" s="5"/>
      <c r="R3" s="5"/>
    </row>
    <row r="4" spans="1:18" x14ac:dyDescent="0.3">
      <c r="A4" s="5"/>
      <c r="B4" s="129" t="s">
        <v>14</v>
      </c>
      <c r="C4" s="18" t="s">
        <v>26</v>
      </c>
      <c r="D4" s="132" t="s">
        <v>99</v>
      </c>
      <c r="E4" s="132"/>
      <c r="F4" s="19" t="s">
        <v>15</v>
      </c>
      <c r="G4" s="21" t="s">
        <v>272</v>
      </c>
      <c r="H4" s="24"/>
      <c r="I4" s="5"/>
      <c r="J4" s="5"/>
      <c r="K4" s="5"/>
      <c r="L4" s="5"/>
      <c r="M4" s="5"/>
      <c r="N4" s="5"/>
      <c r="O4" s="5"/>
      <c r="P4" s="5"/>
      <c r="Q4" s="5"/>
      <c r="R4" s="5"/>
    </row>
    <row r="5" spans="1:18" ht="24" x14ac:dyDescent="0.3">
      <c r="A5" s="5"/>
      <c r="B5" s="130"/>
      <c r="C5" s="25" t="s">
        <v>27</v>
      </c>
      <c r="D5" s="133" t="s">
        <v>102</v>
      </c>
      <c r="E5" s="133"/>
      <c r="F5" s="26" t="s">
        <v>15</v>
      </c>
      <c r="G5" s="28" t="s">
        <v>273</v>
      </c>
      <c r="H5" s="30"/>
      <c r="I5" s="5"/>
      <c r="J5" s="5"/>
      <c r="K5" s="5"/>
      <c r="L5" s="5"/>
      <c r="M5" s="5"/>
      <c r="N5" s="5"/>
      <c r="O5" s="5"/>
      <c r="P5" s="5"/>
      <c r="Q5" s="5"/>
      <c r="R5" s="5"/>
    </row>
    <row r="6" spans="1:18" x14ac:dyDescent="0.3">
      <c r="A6" s="5"/>
      <c r="B6" s="130"/>
      <c r="C6" s="25" t="s">
        <v>28</v>
      </c>
      <c r="D6" s="133" t="s">
        <v>104</v>
      </c>
      <c r="E6" s="133"/>
      <c r="F6" s="26" t="s">
        <v>15</v>
      </c>
      <c r="G6" s="28" t="s">
        <v>274</v>
      </c>
      <c r="H6" s="30"/>
      <c r="I6" s="5"/>
      <c r="J6" s="5"/>
      <c r="K6" s="5"/>
      <c r="L6" s="5"/>
      <c r="M6" s="5"/>
      <c r="N6" s="5"/>
      <c r="O6" s="5"/>
      <c r="P6" s="5"/>
      <c r="Q6" s="5"/>
      <c r="R6" s="5"/>
    </row>
    <row r="7" spans="1:18" x14ac:dyDescent="0.3">
      <c r="A7" s="5"/>
      <c r="B7" s="130"/>
      <c r="C7" s="25" t="s">
        <v>29</v>
      </c>
      <c r="D7" s="133" t="s">
        <v>105</v>
      </c>
      <c r="E7" s="133"/>
      <c r="F7" s="26" t="s">
        <v>15</v>
      </c>
      <c r="G7" s="28" t="s">
        <v>275</v>
      </c>
      <c r="H7" s="30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24" x14ac:dyDescent="0.3">
      <c r="A8" s="5"/>
      <c r="B8" s="130"/>
      <c r="C8" s="25" t="s">
        <v>30</v>
      </c>
      <c r="D8" s="133" t="s">
        <v>106</v>
      </c>
      <c r="E8" s="133"/>
      <c r="F8" s="26" t="s">
        <v>16</v>
      </c>
      <c r="G8" s="28" t="s">
        <v>276</v>
      </c>
      <c r="H8" s="30"/>
      <c r="I8" s="5"/>
      <c r="J8" s="5"/>
      <c r="K8" s="5"/>
      <c r="L8" s="5"/>
      <c r="M8" s="5"/>
      <c r="N8" s="5"/>
      <c r="O8" s="5"/>
      <c r="P8" s="5"/>
      <c r="Q8" s="5"/>
      <c r="R8" s="5"/>
    </row>
    <row r="9" spans="1:18" ht="24" x14ac:dyDescent="0.3">
      <c r="A9" s="5"/>
      <c r="B9" s="130"/>
      <c r="C9" s="25" t="s">
        <v>31</v>
      </c>
      <c r="D9" s="133" t="s">
        <v>107</v>
      </c>
      <c r="E9" s="133"/>
      <c r="F9" s="26" t="s">
        <v>15</v>
      </c>
      <c r="G9" s="28" t="s">
        <v>277</v>
      </c>
      <c r="H9" s="30"/>
      <c r="I9" s="5"/>
      <c r="J9" s="5"/>
      <c r="K9" s="5"/>
      <c r="L9" s="5"/>
      <c r="M9" s="5"/>
      <c r="N9" s="5"/>
      <c r="O9" s="5"/>
      <c r="P9" s="5"/>
      <c r="Q9" s="5"/>
      <c r="R9" s="5"/>
    </row>
    <row r="10" spans="1:18" x14ac:dyDescent="0.3">
      <c r="A10" s="5"/>
      <c r="B10" s="130"/>
      <c r="C10" s="25" t="s">
        <v>32</v>
      </c>
      <c r="D10" s="133" t="s">
        <v>108</v>
      </c>
      <c r="E10" s="133"/>
      <c r="F10" s="26" t="s">
        <v>17</v>
      </c>
      <c r="G10" s="28" t="s">
        <v>279</v>
      </c>
      <c r="H10" s="30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spans="1:18" x14ac:dyDescent="0.3">
      <c r="A11" s="5"/>
      <c r="B11" s="130"/>
      <c r="C11" s="25" t="s">
        <v>33</v>
      </c>
      <c r="D11" s="133" t="s">
        <v>109</v>
      </c>
      <c r="E11" s="133"/>
      <c r="F11" s="26" t="s">
        <v>16</v>
      </c>
      <c r="G11" s="28" t="s">
        <v>280</v>
      </c>
      <c r="H11" s="30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spans="1:18" x14ac:dyDescent="0.3">
      <c r="A12" s="5"/>
      <c r="B12" s="130"/>
      <c r="C12" s="25" t="s">
        <v>34</v>
      </c>
      <c r="D12" s="133" t="s">
        <v>110</v>
      </c>
      <c r="E12" s="133"/>
      <c r="F12" s="26" t="s">
        <v>17</v>
      </c>
      <c r="G12" s="28" t="s">
        <v>281</v>
      </c>
      <c r="H12" s="30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spans="1:18" x14ac:dyDescent="0.3">
      <c r="A13" s="5"/>
      <c r="B13" s="130"/>
      <c r="C13" s="25" t="s">
        <v>35</v>
      </c>
      <c r="D13" s="133" t="s">
        <v>111</v>
      </c>
      <c r="E13" s="133"/>
      <c r="F13" s="26" t="s">
        <v>16</v>
      </c>
      <c r="G13" s="28" t="s">
        <v>282</v>
      </c>
      <c r="H13" s="30"/>
      <c r="I13" s="5"/>
      <c r="J13" s="5"/>
      <c r="K13" s="5"/>
      <c r="L13" s="5"/>
      <c r="M13" s="5"/>
      <c r="N13" s="5"/>
      <c r="O13" s="5"/>
      <c r="P13" s="5"/>
      <c r="Q13" s="5"/>
      <c r="R13" s="5"/>
    </row>
    <row r="14" spans="1:18" x14ac:dyDescent="0.3">
      <c r="A14" s="5"/>
      <c r="B14" s="130"/>
      <c r="C14" s="25" t="s">
        <v>36</v>
      </c>
      <c r="D14" s="133" t="s">
        <v>113</v>
      </c>
      <c r="E14" s="133"/>
      <c r="F14" s="26" t="s">
        <v>17</v>
      </c>
      <c r="G14" s="28" t="s">
        <v>283</v>
      </c>
      <c r="H14" s="30"/>
      <c r="I14" s="5"/>
      <c r="J14" s="5"/>
      <c r="K14" s="5"/>
      <c r="L14" s="5"/>
      <c r="M14" s="5"/>
      <c r="N14" s="5"/>
      <c r="O14" s="5"/>
      <c r="P14" s="5"/>
      <c r="Q14" s="5"/>
      <c r="R14" s="5"/>
    </row>
    <row r="15" spans="1:18" x14ac:dyDescent="0.3">
      <c r="A15" s="5"/>
      <c r="B15" s="130"/>
      <c r="C15" s="25" t="s">
        <v>37</v>
      </c>
      <c r="D15" s="133" t="s">
        <v>115</v>
      </c>
      <c r="E15" s="133"/>
      <c r="F15" s="26" t="s">
        <v>17</v>
      </c>
      <c r="G15" s="28" t="s">
        <v>284</v>
      </c>
      <c r="H15" s="30"/>
      <c r="I15" s="5"/>
      <c r="J15" s="5"/>
      <c r="K15" s="5"/>
      <c r="L15" s="5"/>
      <c r="M15" s="5"/>
      <c r="N15" s="5"/>
      <c r="O15" s="5"/>
      <c r="P15" s="5"/>
      <c r="Q15" s="5"/>
      <c r="R15" s="5"/>
    </row>
    <row r="16" spans="1:18" x14ac:dyDescent="0.3">
      <c r="A16" s="5"/>
      <c r="B16" s="131"/>
      <c r="C16" s="31" t="s">
        <v>38</v>
      </c>
      <c r="D16" s="134" t="s">
        <v>116</v>
      </c>
      <c r="E16" s="134"/>
      <c r="F16" s="32" t="s">
        <v>16</v>
      </c>
      <c r="G16" s="33" t="s">
        <v>285</v>
      </c>
      <c r="H16" s="35"/>
      <c r="I16" s="5"/>
      <c r="J16" s="5"/>
      <c r="K16" s="5"/>
      <c r="L16" s="5"/>
      <c r="M16" s="5"/>
      <c r="N16" s="5"/>
      <c r="O16" s="5"/>
      <c r="P16" s="5"/>
      <c r="Q16" s="5"/>
      <c r="R16" s="5"/>
    </row>
    <row r="17" spans="1:22" ht="36" x14ac:dyDescent="0.3">
      <c r="A17" s="5"/>
      <c r="B17" s="129" t="s">
        <v>18</v>
      </c>
      <c r="C17" s="18" t="s">
        <v>39</v>
      </c>
      <c r="D17" s="132" t="s">
        <v>117</v>
      </c>
      <c r="E17" s="132"/>
      <c r="F17" s="19" t="s">
        <v>15</v>
      </c>
      <c r="G17" s="21" t="s">
        <v>286</v>
      </c>
      <c r="H17" s="24"/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22" x14ac:dyDescent="0.3">
      <c r="A18" s="5"/>
      <c r="B18" s="130"/>
      <c r="C18" s="25" t="s">
        <v>40</v>
      </c>
      <c r="D18" s="133" t="s">
        <v>118</v>
      </c>
      <c r="E18" s="133"/>
      <c r="F18" s="26" t="s">
        <v>15</v>
      </c>
      <c r="G18" s="28" t="s">
        <v>287</v>
      </c>
      <c r="H18" s="30"/>
      <c r="I18" s="5"/>
      <c r="J18" s="5"/>
      <c r="K18" s="5"/>
      <c r="L18" s="5"/>
      <c r="M18" s="5"/>
      <c r="N18" s="5"/>
      <c r="O18" s="5"/>
      <c r="P18" s="5"/>
      <c r="Q18" s="5"/>
      <c r="R18" s="5"/>
      <c r="V18" t="s">
        <v>278</v>
      </c>
    </row>
    <row r="19" spans="1:22" x14ac:dyDescent="0.3">
      <c r="A19" s="5"/>
      <c r="B19" s="130"/>
      <c r="C19" s="25" t="s">
        <v>41</v>
      </c>
      <c r="D19" s="133" t="s">
        <v>119</v>
      </c>
      <c r="E19" s="133"/>
      <c r="F19" s="26" t="s">
        <v>15</v>
      </c>
      <c r="G19" s="28" t="s">
        <v>288</v>
      </c>
      <c r="H19" s="30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22" x14ac:dyDescent="0.3">
      <c r="A20" s="5"/>
      <c r="B20" s="130"/>
      <c r="C20" s="25" t="s">
        <v>42</v>
      </c>
      <c r="D20" s="133" t="s">
        <v>120</v>
      </c>
      <c r="E20" s="133"/>
      <c r="F20" s="26" t="s">
        <v>15</v>
      </c>
      <c r="G20" s="28" t="s">
        <v>289</v>
      </c>
      <c r="H20" s="30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22" x14ac:dyDescent="0.3">
      <c r="A21" s="5"/>
      <c r="B21" s="130"/>
      <c r="C21" s="25" t="s">
        <v>43</v>
      </c>
      <c r="D21" s="133" t="s">
        <v>121</v>
      </c>
      <c r="E21" s="133"/>
      <c r="F21" s="26" t="s">
        <v>15</v>
      </c>
      <c r="G21" s="28" t="s">
        <v>290</v>
      </c>
      <c r="H21" s="30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22" x14ac:dyDescent="0.3">
      <c r="A22" s="5"/>
      <c r="B22" s="130"/>
      <c r="C22" s="25" t="s">
        <v>44</v>
      </c>
      <c r="D22" s="133" t="s">
        <v>122</v>
      </c>
      <c r="E22" s="133"/>
      <c r="F22" s="26" t="s">
        <v>15</v>
      </c>
      <c r="G22" s="28" t="s">
        <v>291</v>
      </c>
      <c r="H22" s="30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22" x14ac:dyDescent="0.3">
      <c r="A23" s="5"/>
      <c r="B23" s="130"/>
      <c r="C23" s="25" t="s">
        <v>45</v>
      </c>
      <c r="D23" s="133" t="s">
        <v>123</v>
      </c>
      <c r="E23" s="133"/>
      <c r="F23" s="26" t="s">
        <v>15</v>
      </c>
      <c r="G23" s="28" t="s">
        <v>292</v>
      </c>
      <c r="H23" s="30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22" x14ac:dyDescent="0.3">
      <c r="A24" s="5"/>
      <c r="B24" s="130"/>
      <c r="C24" s="25" t="s">
        <v>46</v>
      </c>
      <c r="D24" s="133" t="s">
        <v>124</v>
      </c>
      <c r="E24" s="133"/>
      <c r="F24" s="26" t="s">
        <v>15</v>
      </c>
      <c r="G24" s="28" t="s">
        <v>293</v>
      </c>
      <c r="H24" s="30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22" x14ac:dyDescent="0.3">
      <c r="A25" s="5"/>
      <c r="B25" s="130"/>
      <c r="C25" s="25" t="s">
        <v>47</v>
      </c>
      <c r="D25" s="133" t="s">
        <v>125</v>
      </c>
      <c r="E25" s="133"/>
      <c r="F25" s="26" t="s">
        <v>15</v>
      </c>
      <c r="G25" s="28" t="s">
        <v>294</v>
      </c>
      <c r="H25" s="30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22" ht="36" x14ac:dyDescent="0.3">
      <c r="A26" s="5"/>
      <c r="B26" s="130"/>
      <c r="C26" s="25" t="s">
        <v>48</v>
      </c>
      <c r="D26" s="133" t="s">
        <v>126</v>
      </c>
      <c r="E26" s="133"/>
      <c r="F26" s="26" t="s">
        <v>15</v>
      </c>
      <c r="G26" s="28" t="s">
        <v>295</v>
      </c>
      <c r="H26" s="30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22" x14ac:dyDescent="0.3">
      <c r="A27" s="5"/>
      <c r="B27" s="130"/>
      <c r="C27" s="25" t="s">
        <v>49</v>
      </c>
      <c r="D27" s="133" t="s">
        <v>127</v>
      </c>
      <c r="E27" s="133"/>
      <c r="F27" s="26" t="s">
        <v>15</v>
      </c>
      <c r="G27" s="28" t="s">
        <v>296</v>
      </c>
      <c r="H27" s="30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22" x14ac:dyDescent="0.3">
      <c r="A28" s="5"/>
      <c r="B28" s="130"/>
      <c r="C28" s="25" t="s">
        <v>50</v>
      </c>
      <c r="D28" s="133" t="s">
        <v>128</v>
      </c>
      <c r="E28" s="133"/>
      <c r="F28" s="26" t="s">
        <v>15</v>
      </c>
      <c r="G28" s="28" t="s">
        <v>297</v>
      </c>
      <c r="H28" s="30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22" x14ac:dyDescent="0.3">
      <c r="A29" s="5"/>
      <c r="B29" s="130"/>
      <c r="C29" s="25" t="s">
        <v>51</v>
      </c>
      <c r="D29" s="133" t="s">
        <v>129</v>
      </c>
      <c r="E29" s="133"/>
      <c r="F29" s="26" t="s">
        <v>15</v>
      </c>
      <c r="G29" s="28" t="s">
        <v>298</v>
      </c>
      <c r="H29" s="30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22" x14ac:dyDescent="0.3">
      <c r="A30" s="5"/>
      <c r="B30" s="130"/>
      <c r="C30" s="25" t="s">
        <v>52</v>
      </c>
      <c r="D30" s="133" t="s">
        <v>130</v>
      </c>
      <c r="E30" s="133"/>
      <c r="F30" s="26" t="s">
        <v>15</v>
      </c>
      <c r="G30" s="28" t="s">
        <v>299</v>
      </c>
      <c r="H30" s="30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22" ht="24" x14ac:dyDescent="0.3">
      <c r="A31" s="5"/>
      <c r="B31" s="130"/>
      <c r="C31" s="25" t="s">
        <v>53</v>
      </c>
      <c r="D31" s="133" t="s">
        <v>131</v>
      </c>
      <c r="E31" s="133"/>
      <c r="F31" s="26" t="s">
        <v>15</v>
      </c>
      <c r="G31" s="28" t="s">
        <v>300</v>
      </c>
      <c r="H31" s="30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22" x14ac:dyDescent="0.3">
      <c r="A32" s="5"/>
      <c r="B32" s="130"/>
      <c r="C32" s="25" t="s">
        <v>54</v>
      </c>
      <c r="D32" s="133" t="s">
        <v>132</v>
      </c>
      <c r="E32" s="133"/>
      <c r="F32" s="26" t="s">
        <v>17</v>
      </c>
      <c r="G32" s="28" t="s">
        <v>301</v>
      </c>
      <c r="H32" s="30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x14ac:dyDescent="0.3">
      <c r="A33" s="5"/>
      <c r="B33" s="130"/>
      <c r="C33" s="25" t="s">
        <v>55</v>
      </c>
      <c r="D33" s="133" t="s">
        <v>133</v>
      </c>
      <c r="E33" s="133"/>
      <c r="F33" s="26" t="s">
        <v>16</v>
      </c>
      <c r="G33" s="28" t="s">
        <v>302</v>
      </c>
      <c r="H33" s="30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48" x14ac:dyDescent="0.3">
      <c r="A34" s="5"/>
      <c r="B34" s="130"/>
      <c r="C34" s="25" t="s">
        <v>56</v>
      </c>
      <c r="D34" s="133" t="s">
        <v>134</v>
      </c>
      <c r="E34" s="133"/>
      <c r="F34" s="26" t="s">
        <v>16</v>
      </c>
      <c r="G34" s="28" t="s">
        <v>303</v>
      </c>
      <c r="H34" s="30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x14ac:dyDescent="0.3">
      <c r="A35" s="5"/>
      <c r="B35" s="130"/>
      <c r="C35" s="25" t="s">
        <v>57</v>
      </c>
      <c r="D35" s="133" t="s">
        <v>135</v>
      </c>
      <c r="E35" s="133"/>
      <c r="F35" s="26" t="s">
        <v>16</v>
      </c>
      <c r="G35" s="28" t="s">
        <v>304</v>
      </c>
      <c r="H35" s="30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5"/>
      <c r="B36" s="131"/>
      <c r="C36" s="31" t="s">
        <v>58</v>
      </c>
      <c r="D36" s="134" t="s">
        <v>136</v>
      </c>
      <c r="E36" s="134"/>
      <c r="F36" s="32" t="s">
        <v>17</v>
      </c>
      <c r="G36" s="33" t="s">
        <v>305</v>
      </c>
      <c r="H36" s="3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x14ac:dyDescent="0.3">
      <c r="A37" s="5"/>
      <c r="B37" s="129" t="s">
        <v>19</v>
      </c>
      <c r="C37" s="18" t="s">
        <v>59</v>
      </c>
      <c r="D37" s="132" t="s">
        <v>137</v>
      </c>
      <c r="E37" s="132"/>
      <c r="F37" s="19" t="s">
        <v>15</v>
      </c>
      <c r="G37" s="21" t="s">
        <v>306</v>
      </c>
      <c r="H37" s="24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x14ac:dyDescent="0.3">
      <c r="A38" s="5"/>
      <c r="B38" s="130"/>
      <c r="C38" s="25" t="s">
        <v>60</v>
      </c>
      <c r="D38" s="133" t="s">
        <v>138</v>
      </c>
      <c r="E38" s="133"/>
      <c r="F38" s="26" t="s">
        <v>15</v>
      </c>
      <c r="G38" s="28" t="s">
        <v>307</v>
      </c>
      <c r="H38" s="30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x14ac:dyDescent="0.3">
      <c r="A39" s="5"/>
      <c r="B39" s="130"/>
      <c r="C39" s="25" t="s">
        <v>61</v>
      </c>
      <c r="D39" s="133" t="s">
        <v>139</v>
      </c>
      <c r="E39" s="133"/>
      <c r="F39" s="26" t="s">
        <v>15</v>
      </c>
      <c r="G39" s="28" t="s">
        <v>308</v>
      </c>
      <c r="H39" s="30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24" x14ac:dyDescent="0.3">
      <c r="A40" s="5"/>
      <c r="B40" s="130"/>
      <c r="C40" s="25" t="s">
        <v>62</v>
      </c>
      <c r="D40" s="133" t="s">
        <v>140</v>
      </c>
      <c r="E40" s="133"/>
      <c r="F40" s="26" t="s">
        <v>15</v>
      </c>
      <c r="G40" s="28" t="s">
        <v>309</v>
      </c>
      <c r="H40" s="30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x14ac:dyDescent="0.3">
      <c r="A41" s="5"/>
      <c r="B41" s="130"/>
      <c r="C41" s="25" t="s">
        <v>63</v>
      </c>
      <c r="D41" s="133" t="s">
        <v>141</v>
      </c>
      <c r="E41" s="133"/>
      <c r="F41" s="26" t="s">
        <v>15</v>
      </c>
      <c r="G41" s="28" t="s">
        <v>310</v>
      </c>
      <c r="H41" s="30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x14ac:dyDescent="0.3">
      <c r="A42" s="5"/>
      <c r="B42" s="130"/>
      <c r="C42" s="25" t="s">
        <v>64</v>
      </c>
      <c r="D42" s="133" t="s">
        <v>142</v>
      </c>
      <c r="E42" s="133"/>
      <c r="F42" s="26" t="s">
        <v>15</v>
      </c>
      <c r="G42" s="28" t="s">
        <v>311</v>
      </c>
      <c r="H42" s="30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ht="24" x14ac:dyDescent="0.3">
      <c r="A43" s="5"/>
      <c r="B43" s="130"/>
      <c r="C43" s="25" t="s">
        <v>65</v>
      </c>
      <c r="D43" s="133" t="s">
        <v>144</v>
      </c>
      <c r="E43" s="133"/>
      <c r="F43" s="26" t="s">
        <v>15</v>
      </c>
      <c r="G43" s="28" t="s">
        <v>312</v>
      </c>
      <c r="H43" s="30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spans="1:18" x14ac:dyDescent="0.3">
      <c r="A44" s="5"/>
      <c r="B44" s="130"/>
      <c r="C44" s="25" t="s">
        <v>66</v>
      </c>
      <c r="D44" s="133" t="s">
        <v>145</v>
      </c>
      <c r="E44" s="133"/>
      <c r="F44" s="26" t="s">
        <v>15</v>
      </c>
      <c r="G44" s="28" t="s">
        <v>313</v>
      </c>
      <c r="H44" s="30"/>
      <c r="I44" s="5"/>
      <c r="J44" s="5"/>
      <c r="K44" s="5"/>
      <c r="L44" s="5"/>
      <c r="M44" s="5"/>
      <c r="N44" s="5"/>
      <c r="O44" s="5"/>
      <c r="P44" s="5"/>
      <c r="Q44" s="5"/>
      <c r="R44" s="5"/>
    </row>
    <row r="45" spans="1:18" x14ac:dyDescent="0.3">
      <c r="A45" s="5"/>
      <c r="B45" s="130"/>
      <c r="C45" s="25" t="s">
        <v>67</v>
      </c>
      <c r="D45" s="133" t="s">
        <v>146</v>
      </c>
      <c r="E45" s="133"/>
      <c r="F45" s="26" t="s">
        <v>15</v>
      </c>
      <c r="G45" s="28" t="s">
        <v>314</v>
      </c>
      <c r="H45" s="30"/>
      <c r="I45" s="5"/>
      <c r="J45" s="5"/>
      <c r="K45" s="5"/>
      <c r="L45" s="5"/>
      <c r="M45" s="5"/>
      <c r="N45" s="5"/>
      <c r="O45" s="5"/>
      <c r="P45" s="5"/>
      <c r="Q45" s="5"/>
      <c r="R45" s="5"/>
    </row>
    <row r="46" spans="1:18" x14ac:dyDescent="0.3">
      <c r="A46" s="5"/>
      <c r="B46" s="130"/>
      <c r="C46" s="25" t="s">
        <v>68</v>
      </c>
      <c r="D46" s="133" t="s">
        <v>147</v>
      </c>
      <c r="E46" s="133"/>
      <c r="F46" s="26" t="s">
        <v>15</v>
      </c>
      <c r="G46" s="28" t="s">
        <v>315</v>
      </c>
      <c r="H46" s="30"/>
      <c r="I46" s="5"/>
      <c r="J46" s="5"/>
      <c r="K46" s="5"/>
      <c r="L46" s="5"/>
      <c r="M46" s="5"/>
      <c r="N46" s="5"/>
      <c r="O46" s="5"/>
      <c r="P46" s="5"/>
      <c r="Q46" s="5"/>
      <c r="R46" s="5"/>
    </row>
    <row r="47" spans="1:18" x14ac:dyDescent="0.3">
      <c r="A47" s="5"/>
      <c r="B47" s="130"/>
      <c r="C47" s="25" t="s">
        <v>69</v>
      </c>
      <c r="D47" s="133" t="s">
        <v>148</v>
      </c>
      <c r="E47" s="133"/>
      <c r="F47" s="26" t="s">
        <v>15</v>
      </c>
      <c r="G47" s="28" t="s">
        <v>316</v>
      </c>
      <c r="H47" s="30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18" ht="24" x14ac:dyDescent="0.3">
      <c r="A48" s="5"/>
      <c r="B48" s="130"/>
      <c r="C48" s="25" t="s">
        <v>70</v>
      </c>
      <c r="D48" s="133" t="s">
        <v>149</v>
      </c>
      <c r="E48" s="133"/>
      <c r="F48" s="26" t="s">
        <v>15</v>
      </c>
      <c r="G48" s="28" t="s">
        <v>317</v>
      </c>
      <c r="H48" s="30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spans="1:18" ht="24" x14ac:dyDescent="0.3">
      <c r="A49" s="5"/>
      <c r="B49" s="130"/>
      <c r="C49" s="25" t="s">
        <v>71</v>
      </c>
      <c r="D49" s="133" t="s">
        <v>151</v>
      </c>
      <c r="E49" s="133"/>
      <c r="F49" s="26" t="s">
        <v>15</v>
      </c>
      <c r="G49" s="28" t="s">
        <v>318</v>
      </c>
      <c r="H49" s="30"/>
      <c r="I49" s="5"/>
      <c r="J49" s="5"/>
      <c r="K49" s="5"/>
      <c r="L49" s="5"/>
      <c r="M49" s="5"/>
      <c r="N49" s="5"/>
      <c r="O49" s="5"/>
      <c r="P49" s="5"/>
      <c r="Q49" s="5"/>
      <c r="R49" s="5"/>
    </row>
    <row r="50" spans="1:18" ht="24" x14ac:dyDescent="0.3">
      <c r="A50" s="5"/>
      <c r="B50" s="130"/>
      <c r="C50" s="25" t="s">
        <v>72</v>
      </c>
      <c r="D50" s="133" t="s">
        <v>152</v>
      </c>
      <c r="E50" s="133"/>
      <c r="F50" s="26" t="s">
        <v>15</v>
      </c>
      <c r="G50" s="28" t="s">
        <v>319</v>
      </c>
      <c r="H50" s="30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ht="24" x14ac:dyDescent="0.3">
      <c r="A51" s="5"/>
      <c r="B51" s="130"/>
      <c r="C51" s="25" t="s">
        <v>73</v>
      </c>
      <c r="D51" s="133" t="s">
        <v>153</v>
      </c>
      <c r="E51" s="133"/>
      <c r="F51" s="26" t="s">
        <v>16</v>
      </c>
      <c r="G51" s="28" t="s">
        <v>320</v>
      </c>
      <c r="H51" s="30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24" x14ac:dyDescent="0.3">
      <c r="A52" s="5"/>
      <c r="B52" s="130"/>
      <c r="C52" s="25" t="s">
        <v>74</v>
      </c>
      <c r="D52" s="133" t="s">
        <v>155</v>
      </c>
      <c r="E52" s="133"/>
      <c r="F52" s="26" t="s">
        <v>15</v>
      </c>
      <c r="G52" s="28" t="s">
        <v>321</v>
      </c>
      <c r="H52" s="30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ht="24" x14ac:dyDescent="0.3">
      <c r="A53" s="5"/>
      <c r="B53" s="130"/>
      <c r="C53" s="25" t="s">
        <v>75</v>
      </c>
      <c r="D53" s="133" t="s">
        <v>157</v>
      </c>
      <c r="E53" s="133"/>
      <c r="F53" s="26" t="s">
        <v>15</v>
      </c>
      <c r="G53" s="28" t="s">
        <v>322</v>
      </c>
      <c r="H53" s="30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ht="24" x14ac:dyDescent="0.3">
      <c r="A54" s="5"/>
      <c r="B54" s="130"/>
      <c r="C54" s="25" t="s">
        <v>76</v>
      </c>
      <c r="D54" s="133" t="s">
        <v>159</v>
      </c>
      <c r="E54" s="133"/>
      <c r="F54" s="26" t="s">
        <v>16</v>
      </c>
      <c r="G54" s="28" t="s">
        <v>323</v>
      </c>
      <c r="H54" s="30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3">
      <c r="A55" s="5"/>
      <c r="B55" s="130"/>
      <c r="C55" s="25" t="s">
        <v>77</v>
      </c>
      <c r="D55" s="133" t="s">
        <v>160</v>
      </c>
      <c r="E55" s="133"/>
      <c r="F55" s="26" t="s">
        <v>16</v>
      </c>
      <c r="G55" s="28" t="s">
        <v>324</v>
      </c>
      <c r="H55" s="30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ht="24" x14ac:dyDescent="0.3">
      <c r="A56" s="5"/>
      <c r="B56" s="130"/>
      <c r="C56" s="25" t="s">
        <v>78</v>
      </c>
      <c r="D56" s="133" t="s">
        <v>161</v>
      </c>
      <c r="E56" s="133"/>
      <c r="F56" s="26" t="s">
        <v>17</v>
      </c>
      <c r="G56" s="28" t="s">
        <v>325</v>
      </c>
      <c r="H56" s="30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3">
      <c r="A57" s="5"/>
      <c r="B57" s="130"/>
      <c r="C57" s="25" t="s">
        <v>79</v>
      </c>
      <c r="D57" s="133" t="s">
        <v>162</v>
      </c>
      <c r="E57" s="133"/>
      <c r="F57" s="26" t="s">
        <v>16</v>
      </c>
      <c r="G57" s="28" t="s">
        <v>326</v>
      </c>
      <c r="H57" s="30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ht="24" x14ac:dyDescent="0.3">
      <c r="A58" s="5"/>
      <c r="B58" s="130"/>
      <c r="C58" s="25" t="s">
        <v>80</v>
      </c>
      <c r="D58" s="133" t="s">
        <v>163</v>
      </c>
      <c r="E58" s="133"/>
      <c r="F58" s="26" t="s">
        <v>16</v>
      </c>
      <c r="G58" s="28" t="s">
        <v>327</v>
      </c>
      <c r="H58" s="30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ht="24" x14ac:dyDescent="0.3">
      <c r="A59" s="5"/>
      <c r="B59" s="130"/>
      <c r="C59" s="25" t="s">
        <v>81</v>
      </c>
      <c r="D59" s="133" t="s">
        <v>165</v>
      </c>
      <c r="E59" s="133"/>
      <c r="F59" s="26" t="s">
        <v>17</v>
      </c>
      <c r="G59" s="28" t="s">
        <v>328</v>
      </c>
      <c r="H59" s="30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ht="24" x14ac:dyDescent="0.3">
      <c r="A60" s="5"/>
      <c r="B60" s="130"/>
      <c r="C60" s="25" t="s">
        <v>82</v>
      </c>
      <c r="D60" s="133" t="s">
        <v>167</v>
      </c>
      <c r="E60" s="133"/>
      <c r="F60" s="26" t="s">
        <v>16</v>
      </c>
      <c r="G60" s="28" t="s">
        <v>329</v>
      </c>
      <c r="H60" s="30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3">
      <c r="A61" s="5"/>
      <c r="B61" s="130"/>
      <c r="C61" s="25" t="s">
        <v>83</v>
      </c>
      <c r="D61" s="133" t="s">
        <v>168</v>
      </c>
      <c r="E61" s="133"/>
      <c r="F61" s="26" t="s">
        <v>16</v>
      </c>
      <c r="G61" s="28" t="s">
        <v>330</v>
      </c>
      <c r="H61" s="30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ht="24" x14ac:dyDescent="0.3">
      <c r="A62" s="5"/>
      <c r="B62" s="130"/>
      <c r="C62" s="25" t="s">
        <v>84</v>
      </c>
      <c r="D62" s="133" t="s">
        <v>170</v>
      </c>
      <c r="E62" s="133"/>
      <c r="F62" s="26" t="s">
        <v>15</v>
      </c>
      <c r="G62" s="28" t="s">
        <v>331</v>
      </c>
      <c r="H62" s="30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ht="36" x14ac:dyDescent="0.3">
      <c r="A63" s="5"/>
      <c r="B63" s="130"/>
      <c r="C63" s="25" t="s">
        <v>85</v>
      </c>
      <c r="D63" s="133" t="s">
        <v>172</v>
      </c>
      <c r="E63" s="133"/>
      <c r="F63" s="26" t="s">
        <v>16</v>
      </c>
      <c r="G63" s="28" t="s">
        <v>332</v>
      </c>
      <c r="H63" s="30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ht="24" x14ac:dyDescent="0.3">
      <c r="A64" s="5"/>
      <c r="B64" s="130"/>
      <c r="C64" s="25" t="s">
        <v>86</v>
      </c>
      <c r="D64" s="133" t="s">
        <v>173</v>
      </c>
      <c r="E64" s="133"/>
      <c r="F64" s="26" t="s">
        <v>15</v>
      </c>
      <c r="G64" s="28" t="s">
        <v>333</v>
      </c>
      <c r="H64" s="30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ht="24" x14ac:dyDescent="0.3">
      <c r="A65" s="5"/>
      <c r="B65" s="130"/>
      <c r="C65" s="25" t="s">
        <v>87</v>
      </c>
      <c r="D65" s="133" t="s">
        <v>174</v>
      </c>
      <c r="E65" s="133"/>
      <c r="F65" s="26" t="s">
        <v>17</v>
      </c>
      <c r="G65" s="28" t="s">
        <v>334</v>
      </c>
      <c r="H65" s="30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3">
      <c r="A66" s="5"/>
      <c r="B66" s="131"/>
      <c r="C66" s="31" t="s">
        <v>88</v>
      </c>
      <c r="D66" s="134" t="s">
        <v>175</v>
      </c>
      <c r="E66" s="134"/>
      <c r="F66" s="32" t="s">
        <v>16</v>
      </c>
      <c r="G66" s="33" t="s">
        <v>335</v>
      </c>
      <c r="H66" s="3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ht="24" x14ac:dyDescent="0.3">
      <c r="A67" s="5"/>
      <c r="B67" s="15" t="s">
        <v>20</v>
      </c>
      <c r="C67" s="13" t="s">
        <v>89</v>
      </c>
      <c r="D67" s="135" t="s">
        <v>176</v>
      </c>
      <c r="E67" s="135"/>
      <c r="F67" s="14" t="s">
        <v>15</v>
      </c>
      <c r="G67" s="42" t="s">
        <v>336</v>
      </c>
      <c r="H67" s="43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3">
      <c r="A68" s="5"/>
      <c r="B68" s="129" t="s">
        <v>21</v>
      </c>
      <c r="C68" s="18" t="s">
        <v>90</v>
      </c>
      <c r="D68" s="132" t="s">
        <v>177</v>
      </c>
      <c r="E68" s="132"/>
      <c r="F68" s="19" t="s">
        <v>16</v>
      </c>
      <c r="G68" s="21" t="s">
        <v>337</v>
      </c>
      <c r="H68" s="24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3">
      <c r="A69" s="5"/>
      <c r="B69" s="130"/>
      <c r="C69" s="25" t="s">
        <v>91</v>
      </c>
      <c r="D69" s="133" t="s">
        <v>178</v>
      </c>
      <c r="E69" s="133"/>
      <c r="F69" s="26" t="s">
        <v>16</v>
      </c>
      <c r="G69" s="28" t="s">
        <v>338</v>
      </c>
      <c r="H69" s="30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3">
      <c r="A70" s="5"/>
      <c r="B70" s="131"/>
      <c r="C70" s="31" t="s">
        <v>92</v>
      </c>
      <c r="D70" s="134" t="s">
        <v>179</v>
      </c>
      <c r="E70" s="134"/>
      <c r="F70" s="32" t="s">
        <v>16</v>
      </c>
      <c r="G70" s="33" t="s">
        <v>339</v>
      </c>
      <c r="H70" s="3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</sheetData>
  <mergeCells count="72">
    <mergeCell ref="D3:E3"/>
    <mergeCell ref="B4:B16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32:E32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3:E33"/>
    <mergeCell ref="D34:E34"/>
    <mergeCell ref="D35:E35"/>
    <mergeCell ref="D36:E36"/>
    <mergeCell ref="B37:B66"/>
    <mergeCell ref="D37:E37"/>
    <mergeCell ref="D38:E38"/>
    <mergeCell ref="D39:E39"/>
    <mergeCell ref="D40:E40"/>
    <mergeCell ref="D41:E41"/>
    <mergeCell ref="B17:B36"/>
    <mergeCell ref="D17:E17"/>
    <mergeCell ref="D18:E18"/>
    <mergeCell ref="D19:E19"/>
    <mergeCell ref="D20:E20"/>
    <mergeCell ref="D53:E53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65:E65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6:E66"/>
    <mergeCell ref="D67:E67"/>
    <mergeCell ref="B68:B70"/>
    <mergeCell ref="D68:E68"/>
    <mergeCell ref="D69:E69"/>
    <mergeCell ref="D70:E70"/>
  </mergeCells>
  <phoneticPr fontId="1" type="noConversion"/>
  <conditionalFormatting sqref="F4:H70">
    <cfRule type="expression" dxfId="13" priority="6">
      <formula>#REF!="N/A"</formula>
    </cfRule>
    <cfRule type="expression" dxfId="12" priority="7">
      <formula>#REF!="수동점검"</formula>
    </cfRule>
    <cfRule type="expression" dxfId="11" priority="8">
      <formula>#REF!="취약"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5FCAC-B6CA-4BD9-886F-8EBD84453325}">
  <dimension ref="A1:DB79"/>
  <sheetViews>
    <sheetView zoomScaleNormal="100" workbookViewId="0">
      <selection activeCell="I17" sqref="I17"/>
    </sheetView>
  </sheetViews>
  <sheetFormatPr defaultRowHeight="16.5" x14ac:dyDescent="0.3"/>
  <cols>
    <col min="1" max="1" width="4.625" style="76" customWidth="1"/>
    <col min="2" max="2" width="9.625" style="76" customWidth="1"/>
    <col min="3" max="3" width="4.625" style="76" customWidth="1"/>
    <col min="4" max="4" width="46.5" style="85" customWidth="1"/>
    <col min="5" max="5" width="6.75" style="76" customWidth="1"/>
    <col min="6" max="6" width="5.625" style="85" customWidth="1"/>
  </cols>
  <sheetData>
    <row r="1" spans="1:106" x14ac:dyDescent="0.3">
      <c r="A1" s="73"/>
      <c r="B1" s="73"/>
      <c r="C1" s="73"/>
      <c r="D1" s="74"/>
      <c r="E1" s="73"/>
      <c r="F1" s="74"/>
    </row>
    <row r="2" spans="1:106" ht="17.25" x14ac:dyDescent="0.3">
      <c r="A2" s="75" t="s">
        <v>345</v>
      </c>
      <c r="C2" s="77"/>
      <c r="D2" s="78"/>
      <c r="E2" s="77"/>
      <c r="F2" s="1"/>
    </row>
    <row r="3" spans="1:106" x14ac:dyDescent="0.3">
      <c r="A3" s="79"/>
      <c r="B3" s="80"/>
      <c r="C3" s="80"/>
      <c r="D3" s="81"/>
      <c r="E3" s="80"/>
      <c r="F3" s="1"/>
    </row>
    <row r="4" spans="1:106" ht="22.5" x14ac:dyDescent="0.3">
      <c r="A4" s="82"/>
      <c r="B4" s="83" t="s">
        <v>267</v>
      </c>
      <c r="C4" s="83" t="s">
        <v>11</v>
      </c>
      <c r="D4" s="83" t="s">
        <v>12</v>
      </c>
      <c r="E4" s="83" t="s">
        <v>13</v>
      </c>
      <c r="F4" s="84" t="s">
        <v>268</v>
      </c>
    </row>
    <row r="5" spans="1:106" ht="11.1" customHeight="1" x14ac:dyDescent="0.3">
      <c r="B5" s="156" t="s">
        <v>14</v>
      </c>
      <c r="C5" s="86" t="s">
        <v>26</v>
      </c>
      <c r="D5" s="94" t="s">
        <v>99</v>
      </c>
      <c r="E5" s="95" t="s">
        <v>15</v>
      </c>
      <c r="F5" s="101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  <c r="CE5" s="100"/>
      <c r="CF5" s="100"/>
      <c r="CG5" s="100"/>
      <c r="CH5" s="100"/>
      <c r="CI5" s="100"/>
      <c r="CJ5" s="100"/>
      <c r="CK5" s="100"/>
      <c r="CL5" s="100"/>
      <c r="CM5" s="100"/>
      <c r="CN5" s="100"/>
      <c r="CO5" s="100"/>
      <c r="CP5" s="100"/>
      <c r="CQ5" s="100"/>
      <c r="CR5" s="100"/>
      <c r="CS5" s="100"/>
      <c r="CT5" s="100"/>
      <c r="CU5" s="100"/>
      <c r="CV5" s="100"/>
      <c r="CW5" s="100"/>
      <c r="CX5" s="100"/>
      <c r="CY5" s="100"/>
      <c r="CZ5" s="100"/>
      <c r="DA5" s="100"/>
      <c r="DB5" s="100"/>
    </row>
    <row r="6" spans="1:106" ht="11.1" customHeight="1" x14ac:dyDescent="0.3">
      <c r="B6" s="157"/>
      <c r="C6" s="87" t="s">
        <v>27</v>
      </c>
      <c r="D6" s="91" t="s">
        <v>102</v>
      </c>
      <c r="E6" s="96" t="s">
        <v>15</v>
      </c>
      <c r="F6" s="101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0"/>
      <c r="BF6" s="100"/>
      <c r="BG6" s="100"/>
      <c r="BH6" s="100"/>
      <c r="BI6" s="100"/>
      <c r="BJ6" s="100"/>
      <c r="BK6" s="100"/>
      <c r="BL6" s="100"/>
      <c r="BM6" s="100"/>
      <c r="BN6" s="100"/>
      <c r="BO6" s="100"/>
      <c r="BP6" s="100"/>
      <c r="BQ6" s="100"/>
      <c r="BR6" s="100"/>
      <c r="BS6" s="100"/>
      <c r="BT6" s="100"/>
      <c r="BU6" s="100"/>
      <c r="BV6" s="100"/>
      <c r="BW6" s="100"/>
      <c r="BX6" s="100"/>
      <c r="BY6" s="100"/>
      <c r="BZ6" s="100"/>
      <c r="CA6" s="100"/>
      <c r="CB6" s="100"/>
      <c r="CC6" s="100"/>
      <c r="CD6" s="100"/>
      <c r="CE6" s="100"/>
      <c r="CF6" s="100"/>
      <c r="CG6" s="100"/>
      <c r="CH6" s="100"/>
      <c r="CI6" s="100"/>
      <c r="CJ6" s="100"/>
      <c r="CK6" s="100"/>
      <c r="CL6" s="100"/>
      <c r="CM6" s="100"/>
      <c r="CN6" s="100"/>
      <c r="CO6" s="100"/>
      <c r="CP6" s="100"/>
      <c r="CQ6" s="100"/>
      <c r="CR6" s="100"/>
      <c r="CS6" s="100"/>
      <c r="CT6" s="100"/>
      <c r="CU6" s="100"/>
      <c r="CV6" s="100"/>
      <c r="CW6" s="100"/>
      <c r="CX6" s="100"/>
      <c r="CY6" s="100"/>
      <c r="CZ6" s="100"/>
      <c r="DA6" s="100"/>
      <c r="DB6" s="100"/>
    </row>
    <row r="7" spans="1:106" ht="11.1" customHeight="1" x14ac:dyDescent="0.3">
      <c r="B7" s="157"/>
      <c r="C7" s="87" t="s">
        <v>28</v>
      </c>
      <c r="D7" s="91" t="s">
        <v>104</v>
      </c>
      <c r="E7" s="96" t="s">
        <v>15</v>
      </c>
      <c r="F7" s="101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0"/>
      <c r="AQ7" s="100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0"/>
      <c r="BF7" s="100"/>
      <c r="BG7" s="100"/>
      <c r="BH7" s="100"/>
      <c r="BI7" s="100"/>
      <c r="BJ7" s="100"/>
      <c r="BK7" s="100"/>
      <c r="BL7" s="100"/>
      <c r="BM7" s="100"/>
      <c r="BN7" s="100"/>
      <c r="BO7" s="100"/>
      <c r="BP7" s="100"/>
      <c r="BQ7" s="100"/>
      <c r="BR7" s="100"/>
      <c r="BS7" s="100"/>
      <c r="BT7" s="100"/>
      <c r="BU7" s="100"/>
      <c r="BV7" s="100"/>
      <c r="BW7" s="100"/>
      <c r="BX7" s="100"/>
      <c r="BY7" s="100"/>
      <c r="BZ7" s="100"/>
      <c r="CA7" s="100"/>
      <c r="CB7" s="100"/>
      <c r="CC7" s="100"/>
      <c r="CD7" s="100"/>
      <c r="CE7" s="100"/>
      <c r="CF7" s="100"/>
      <c r="CG7" s="100"/>
      <c r="CH7" s="100"/>
      <c r="CI7" s="100"/>
      <c r="CJ7" s="100"/>
      <c r="CK7" s="100"/>
      <c r="CL7" s="100"/>
      <c r="CM7" s="100"/>
      <c r="CN7" s="100"/>
      <c r="CO7" s="100"/>
      <c r="CP7" s="100"/>
      <c r="CQ7" s="100"/>
      <c r="CR7" s="100"/>
      <c r="CS7" s="100"/>
      <c r="CT7" s="100"/>
      <c r="CU7" s="100"/>
      <c r="CV7" s="100"/>
      <c r="CW7" s="100"/>
      <c r="CX7" s="100"/>
      <c r="CY7" s="100"/>
      <c r="CZ7" s="100"/>
      <c r="DA7" s="100"/>
      <c r="DB7" s="100"/>
    </row>
    <row r="8" spans="1:106" ht="11.1" customHeight="1" x14ac:dyDescent="0.3">
      <c r="B8" s="157"/>
      <c r="C8" s="87" t="s">
        <v>29</v>
      </c>
      <c r="D8" s="91" t="s">
        <v>105</v>
      </c>
      <c r="E8" s="96" t="s">
        <v>15</v>
      </c>
      <c r="F8" s="101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0"/>
      <c r="AQ8" s="100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0"/>
      <c r="BF8" s="100"/>
      <c r="BG8" s="100"/>
      <c r="BH8" s="100"/>
      <c r="BI8" s="100"/>
      <c r="BJ8" s="100"/>
      <c r="BK8" s="100"/>
      <c r="BL8" s="100"/>
      <c r="BM8" s="100"/>
      <c r="BN8" s="100"/>
      <c r="BO8" s="100"/>
      <c r="BP8" s="100"/>
      <c r="BQ8" s="100"/>
      <c r="BR8" s="100"/>
      <c r="BS8" s="100"/>
      <c r="BT8" s="100"/>
      <c r="BU8" s="100"/>
      <c r="BV8" s="100"/>
      <c r="BW8" s="100"/>
      <c r="BX8" s="100"/>
      <c r="BY8" s="100"/>
      <c r="BZ8" s="100"/>
      <c r="CA8" s="100"/>
      <c r="CB8" s="100"/>
      <c r="CC8" s="100"/>
      <c r="CD8" s="100"/>
      <c r="CE8" s="100"/>
      <c r="CF8" s="100"/>
      <c r="CG8" s="100"/>
      <c r="CH8" s="100"/>
      <c r="CI8" s="100"/>
      <c r="CJ8" s="100"/>
      <c r="CK8" s="100"/>
      <c r="CL8" s="100"/>
      <c r="CM8" s="100"/>
      <c r="CN8" s="100"/>
      <c r="CO8" s="100"/>
      <c r="CP8" s="100"/>
      <c r="CQ8" s="100"/>
      <c r="CR8" s="100"/>
      <c r="CS8" s="100"/>
      <c r="CT8" s="100"/>
      <c r="CU8" s="100"/>
      <c r="CV8" s="100"/>
      <c r="CW8" s="100"/>
      <c r="CX8" s="100"/>
      <c r="CY8" s="100"/>
      <c r="CZ8" s="100"/>
      <c r="DA8" s="100"/>
      <c r="DB8" s="100"/>
    </row>
    <row r="9" spans="1:106" ht="11.1" customHeight="1" x14ac:dyDescent="0.3">
      <c r="B9" s="157"/>
      <c r="C9" s="87" t="s">
        <v>30</v>
      </c>
      <c r="D9" s="91" t="s">
        <v>106</v>
      </c>
      <c r="E9" s="96" t="s">
        <v>16</v>
      </c>
      <c r="F9" s="101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0"/>
      <c r="AQ9" s="100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0"/>
      <c r="BF9" s="100"/>
      <c r="BG9" s="100"/>
      <c r="BH9" s="100"/>
      <c r="BI9" s="100"/>
      <c r="BJ9" s="100"/>
      <c r="BK9" s="100"/>
      <c r="BL9" s="100"/>
      <c r="BM9" s="100"/>
      <c r="BN9" s="100"/>
      <c r="BO9" s="100"/>
      <c r="BP9" s="100"/>
      <c r="BQ9" s="100"/>
      <c r="BR9" s="100"/>
      <c r="BS9" s="100"/>
      <c r="BT9" s="100"/>
      <c r="BU9" s="100"/>
      <c r="BV9" s="100"/>
      <c r="BW9" s="100"/>
      <c r="BX9" s="100"/>
      <c r="BY9" s="100"/>
      <c r="BZ9" s="100"/>
      <c r="CA9" s="100"/>
      <c r="CB9" s="100"/>
      <c r="CC9" s="100"/>
      <c r="CD9" s="100"/>
      <c r="CE9" s="100"/>
      <c r="CF9" s="100"/>
      <c r="CG9" s="100"/>
      <c r="CH9" s="100"/>
      <c r="CI9" s="100"/>
      <c r="CJ9" s="100"/>
      <c r="CK9" s="100"/>
      <c r="CL9" s="100"/>
      <c r="CM9" s="100"/>
      <c r="CN9" s="100"/>
      <c r="CO9" s="100"/>
      <c r="CP9" s="100"/>
      <c r="CQ9" s="100"/>
      <c r="CR9" s="100"/>
      <c r="CS9" s="100"/>
      <c r="CT9" s="100"/>
      <c r="CU9" s="100"/>
      <c r="CV9" s="100"/>
      <c r="CW9" s="100"/>
      <c r="CX9" s="100"/>
      <c r="CY9" s="100"/>
      <c r="CZ9" s="100"/>
      <c r="DA9" s="100"/>
      <c r="DB9" s="100"/>
    </row>
    <row r="10" spans="1:106" ht="11.1" customHeight="1" x14ac:dyDescent="0.3">
      <c r="B10" s="157"/>
      <c r="C10" s="87" t="s">
        <v>31</v>
      </c>
      <c r="D10" s="91" t="s">
        <v>107</v>
      </c>
      <c r="E10" s="96" t="s">
        <v>15</v>
      </c>
      <c r="F10" s="101"/>
      <c r="G10" s="100"/>
      <c r="H10" s="100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0"/>
      <c r="AQ10" s="100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0"/>
      <c r="BF10" s="100"/>
      <c r="BG10" s="100"/>
      <c r="BH10" s="100"/>
      <c r="BI10" s="100"/>
      <c r="BJ10" s="100"/>
      <c r="BK10" s="100"/>
      <c r="BL10" s="100"/>
      <c r="BM10" s="100"/>
      <c r="BN10" s="100"/>
      <c r="BO10" s="100"/>
      <c r="BP10" s="100"/>
      <c r="BQ10" s="100"/>
      <c r="BR10" s="100"/>
      <c r="BS10" s="100"/>
      <c r="BT10" s="100"/>
      <c r="BU10" s="100"/>
      <c r="BV10" s="100"/>
      <c r="BW10" s="100"/>
      <c r="BX10" s="100"/>
      <c r="BY10" s="100"/>
      <c r="BZ10" s="100"/>
      <c r="CA10" s="100"/>
      <c r="CB10" s="100"/>
      <c r="CC10" s="100"/>
      <c r="CD10" s="100"/>
      <c r="CE10" s="100"/>
      <c r="CF10" s="100"/>
      <c r="CG10" s="100"/>
      <c r="CH10" s="100"/>
      <c r="CI10" s="100"/>
      <c r="CJ10" s="100"/>
      <c r="CK10" s="100"/>
      <c r="CL10" s="100"/>
      <c r="CM10" s="100"/>
      <c r="CN10" s="100"/>
      <c r="CO10" s="100"/>
      <c r="CP10" s="100"/>
      <c r="CQ10" s="100"/>
      <c r="CR10" s="100"/>
      <c r="CS10" s="100"/>
      <c r="CT10" s="100"/>
      <c r="CU10" s="100"/>
      <c r="CV10" s="100"/>
      <c r="CW10" s="100"/>
      <c r="CX10" s="100"/>
      <c r="CY10" s="100"/>
      <c r="CZ10" s="100"/>
      <c r="DA10" s="100"/>
      <c r="DB10" s="100"/>
    </row>
    <row r="11" spans="1:106" ht="11.1" customHeight="1" x14ac:dyDescent="0.3">
      <c r="B11" s="157"/>
      <c r="C11" s="87" t="s">
        <v>32</v>
      </c>
      <c r="D11" s="91" t="s">
        <v>108</v>
      </c>
      <c r="E11" s="96" t="s">
        <v>17</v>
      </c>
      <c r="F11" s="101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0"/>
      <c r="BF11" s="100"/>
      <c r="BG11" s="100"/>
      <c r="BH11" s="100"/>
      <c r="BI11" s="100"/>
      <c r="BJ11" s="100"/>
      <c r="BK11" s="100"/>
      <c r="BL11" s="100"/>
      <c r="BM11" s="100"/>
      <c r="BN11" s="100"/>
      <c r="BO11" s="100"/>
      <c r="BP11" s="100"/>
      <c r="BQ11" s="100"/>
      <c r="BR11" s="100"/>
      <c r="BS11" s="100"/>
      <c r="BT11" s="100"/>
      <c r="BU11" s="100"/>
      <c r="BV11" s="100"/>
      <c r="BW11" s="100"/>
      <c r="BX11" s="100"/>
      <c r="BY11" s="100"/>
      <c r="BZ11" s="100"/>
      <c r="CA11" s="100"/>
      <c r="CB11" s="100"/>
      <c r="CC11" s="100"/>
      <c r="CD11" s="100"/>
      <c r="CE11" s="100"/>
      <c r="CF11" s="100"/>
      <c r="CG11" s="100"/>
      <c r="CH11" s="100"/>
      <c r="CI11" s="100"/>
      <c r="CJ11" s="100"/>
      <c r="CK11" s="100"/>
      <c r="CL11" s="100"/>
      <c r="CM11" s="100"/>
      <c r="CN11" s="100"/>
      <c r="CO11" s="100"/>
      <c r="CP11" s="100"/>
      <c r="CQ11" s="100"/>
      <c r="CR11" s="100"/>
      <c r="CS11" s="100"/>
      <c r="CT11" s="100"/>
      <c r="CU11" s="100"/>
      <c r="CV11" s="100"/>
      <c r="CW11" s="100"/>
      <c r="CX11" s="100"/>
      <c r="CY11" s="100"/>
      <c r="CZ11" s="100"/>
      <c r="DA11" s="100"/>
      <c r="DB11" s="100"/>
    </row>
    <row r="12" spans="1:106" ht="11.1" customHeight="1" x14ac:dyDescent="0.3">
      <c r="B12" s="157"/>
      <c r="C12" s="87" t="s">
        <v>33</v>
      </c>
      <c r="D12" s="91" t="s">
        <v>109</v>
      </c>
      <c r="E12" s="96" t="s">
        <v>16</v>
      </c>
      <c r="F12" s="101"/>
      <c r="G12" s="100"/>
      <c r="H12" s="100"/>
      <c r="I12" s="100"/>
      <c r="J12" s="100"/>
      <c r="K12" s="100"/>
      <c r="L12" s="100"/>
      <c r="M12" s="100"/>
      <c r="N12" s="100"/>
      <c r="O12" s="100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0"/>
      <c r="BF12" s="100"/>
      <c r="BG12" s="100"/>
      <c r="BH12" s="100"/>
      <c r="BI12" s="100"/>
      <c r="BJ12" s="100"/>
      <c r="BK12" s="100"/>
      <c r="BL12" s="100"/>
      <c r="BM12" s="100"/>
      <c r="BN12" s="100"/>
      <c r="BO12" s="100"/>
      <c r="BP12" s="100"/>
      <c r="BQ12" s="100"/>
      <c r="BR12" s="100"/>
      <c r="BS12" s="100"/>
      <c r="BT12" s="100"/>
      <c r="BU12" s="100"/>
      <c r="BV12" s="100"/>
      <c r="BW12" s="100"/>
      <c r="BX12" s="100"/>
      <c r="BY12" s="100"/>
      <c r="BZ12" s="100"/>
      <c r="CA12" s="100"/>
      <c r="CB12" s="100"/>
      <c r="CC12" s="100"/>
      <c r="CD12" s="100"/>
      <c r="CE12" s="100"/>
      <c r="CF12" s="100"/>
      <c r="CG12" s="100"/>
      <c r="CH12" s="100"/>
      <c r="CI12" s="100"/>
      <c r="CJ12" s="100"/>
      <c r="CK12" s="100"/>
      <c r="CL12" s="100"/>
      <c r="CM12" s="100"/>
      <c r="CN12" s="100"/>
      <c r="CO12" s="100"/>
      <c r="CP12" s="100"/>
      <c r="CQ12" s="100"/>
      <c r="CR12" s="100"/>
      <c r="CS12" s="100"/>
      <c r="CT12" s="100"/>
      <c r="CU12" s="100"/>
      <c r="CV12" s="100"/>
      <c r="CW12" s="100"/>
      <c r="CX12" s="100"/>
      <c r="CY12" s="100"/>
      <c r="CZ12" s="100"/>
      <c r="DA12" s="100"/>
      <c r="DB12" s="100"/>
    </row>
    <row r="13" spans="1:106" ht="11.1" customHeight="1" x14ac:dyDescent="0.3">
      <c r="B13" s="157"/>
      <c r="C13" s="87" t="s">
        <v>34</v>
      </c>
      <c r="D13" s="91" t="s">
        <v>110</v>
      </c>
      <c r="E13" s="96" t="s">
        <v>17</v>
      </c>
      <c r="F13" s="101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0"/>
      <c r="AQ13" s="100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0"/>
      <c r="BF13" s="100"/>
      <c r="BG13" s="100"/>
      <c r="BH13" s="100"/>
      <c r="BI13" s="100"/>
      <c r="BJ13" s="100"/>
      <c r="BK13" s="100"/>
      <c r="BL13" s="100"/>
      <c r="BM13" s="100"/>
      <c r="BN13" s="100"/>
      <c r="BO13" s="100"/>
      <c r="BP13" s="100"/>
      <c r="BQ13" s="100"/>
      <c r="BR13" s="100"/>
      <c r="BS13" s="100"/>
      <c r="BT13" s="100"/>
      <c r="BU13" s="100"/>
      <c r="BV13" s="100"/>
      <c r="BW13" s="100"/>
      <c r="BX13" s="100"/>
      <c r="BY13" s="100"/>
      <c r="BZ13" s="100"/>
      <c r="CA13" s="100"/>
      <c r="CB13" s="100"/>
      <c r="CC13" s="100"/>
      <c r="CD13" s="100"/>
      <c r="CE13" s="100"/>
      <c r="CF13" s="100"/>
      <c r="CG13" s="100"/>
      <c r="CH13" s="100"/>
      <c r="CI13" s="100"/>
      <c r="CJ13" s="100"/>
      <c r="CK13" s="100"/>
      <c r="CL13" s="100"/>
      <c r="CM13" s="100"/>
      <c r="CN13" s="100"/>
      <c r="CO13" s="100"/>
      <c r="CP13" s="100"/>
      <c r="CQ13" s="100"/>
      <c r="CR13" s="100"/>
      <c r="CS13" s="100"/>
      <c r="CT13" s="100"/>
      <c r="CU13" s="100"/>
      <c r="CV13" s="100"/>
      <c r="CW13" s="100"/>
      <c r="CX13" s="100"/>
      <c r="CY13" s="100"/>
      <c r="CZ13" s="100"/>
      <c r="DA13" s="100"/>
      <c r="DB13" s="100"/>
    </row>
    <row r="14" spans="1:106" ht="11.1" customHeight="1" x14ac:dyDescent="0.3">
      <c r="B14" s="157"/>
      <c r="C14" s="87" t="s">
        <v>35</v>
      </c>
      <c r="D14" s="91" t="s">
        <v>111</v>
      </c>
      <c r="E14" s="96" t="s">
        <v>16</v>
      </c>
      <c r="F14" s="101"/>
      <c r="G14" s="100"/>
      <c r="H14" s="100"/>
      <c r="I14" s="100"/>
      <c r="J14" s="100"/>
      <c r="K14" s="100"/>
      <c r="L14" s="100"/>
      <c r="M14" s="100"/>
      <c r="N14" s="100"/>
      <c r="O14" s="100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0"/>
      <c r="BF14" s="100"/>
      <c r="BG14" s="100"/>
      <c r="BH14" s="100"/>
      <c r="BI14" s="100"/>
      <c r="BJ14" s="100"/>
      <c r="BK14" s="100"/>
      <c r="BL14" s="100"/>
      <c r="BM14" s="100"/>
      <c r="BN14" s="100"/>
      <c r="BO14" s="100"/>
      <c r="BP14" s="100"/>
      <c r="BQ14" s="100"/>
      <c r="BR14" s="100"/>
      <c r="BS14" s="100"/>
      <c r="BT14" s="100"/>
      <c r="BU14" s="100"/>
      <c r="BV14" s="100"/>
      <c r="BW14" s="100"/>
      <c r="BX14" s="100"/>
      <c r="BY14" s="100"/>
      <c r="BZ14" s="100"/>
      <c r="CA14" s="100"/>
      <c r="CB14" s="100"/>
      <c r="CC14" s="100"/>
      <c r="CD14" s="100"/>
      <c r="CE14" s="100"/>
      <c r="CF14" s="100"/>
      <c r="CG14" s="100"/>
      <c r="CH14" s="100"/>
      <c r="CI14" s="100"/>
      <c r="CJ14" s="100"/>
      <c r="CK14" s="100"/>
      <c r="CL14" s="100"/>
      <c r="CM14" s="100"/>
      <c r="CN14" s="100"/>
      <c r="CO14" s="100"/>
      <c r="CP14" s="100"/>
      <c r="CQ14" s="100"/>
      <c r="CR14" s="100"/>
      <c r="CS14" s="100"/>
      <c r="CT14" s="100"/>
      <c r="CU14" s="100"/>
      <c r="CV14" s="100"/>
      <c r="CW14" s="100"/>
      <c r="CX14" s="100"/>
      <c r="CY14" s="100"/>
      <c r="CZ14" s="100"/>
      <c r="DA14" s="100"/>
      <c r="DB14" s="100"/>
    </row>
    <row r="15" spans="1:106" ht="11.1" customHeight="1" x14ac:dyDescent="0.3">
      <c r="B15" s="157"/>
      <c r="C15" s="87" t="s">
        <v>36</v>
      </c>
      <c r="D15" s="91" t="s">
        <v>113</v>
      </c>
      <c r="E15" s="96" t="s">
        <v>17</v>
      </c>
      <c r="F15" s="101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0"/>
      <c r="BF15" s="100"/>
      <c r="BG15" s="100"/>
      <c r="BH15" s="100"/>
      <c r="BI15" s="100"/>
      <c r="BJ15" s="100"/>
      <c r="BK15" s="100"/>
      <c r="BL15" s="100"/>
      <c r="BM15" s="100"/>
      <c r="BN15" s="100"/>
      <c r="BO15" s="100"/>
      <c r="BP15" s="100"/>
      <c r="BQ15" s="100"/>
      <c r="BR15" s="100"/>
      <c r="BS15" s="100"/>
      <c r="BT15" s="100"/>
      <c r="BU15" s="100"/>
      <c r="BV15" s="100"/>
      <c r="BW15" s="100"/>
      <c r="BX15" s="100"/>
      <c r="BY15" s="100"/>
      <c r="BZ15" s="100"/>
      <c r="CA15" s="100"/>
      <c r="CB15" s="100"/>
      <c r="CC15" s="100"/>
      <c r="CD15" s="100"/>
      <c r="CE15" s="100"/>
      <c r="CF15" s="100"/>
      <c r="CG15" s="100"/>
      <c r="CH15" s="100"/>
      <c r="CI15" s="100"/>
      <c r="CJ15" s="100"/>
      <c r="CK15" s="100"/>
      <c r="CL15" s="100"/>
      <c r="CM15" s="100"/>
      <c r="CN15" s="100"/>
      <c r="CO15" s="100"/>
      <c r="CP15" s="100"/>
      <c r="CQ15" s="100"/>
      <c r="CR15" s="100"/>
      <c r="CS15" s="100"/>
      <c r="CT15" s="100"/>
      <c r="CU15" s="100"/>
      <c r="CV15" s="100"/>
      <c r="CW15" s="100"/>
      <c r="CX15" s="100"/>
      <c r="CY15" s="100"/>
      <c r="CZ15" s="100"/>
      <c r="DA15" s="100"/>
      <c r="DB15" s="100"/>
    </row>
    <row r="16" spans="1:106" ht="11.1" customHeight="1" x14ac:dyDescent="0.3">
      <c r="B16" s="157"/>
      <c r="C16" s="87" t="s">
        <v>37</v>
      </c>
      <c r="D16" s="91" t="s">
        <v>115</v>
      </c>
      <c r="E16" s="96" t="s">
        <v>17</v>
      </c>
      <c r="F16" s="101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0"/>
      <c r="BF16" s="100"/>
      <c r="BG16" s="100"/>
      <c r="BH16" s="100"/>
      <c r="BI16" s="100"/>
      <c r="BJ16" s="100"/>
      <c r="BK16" s="100"/>
      <c r="BL16" s="100"/>
      <c r="BM16" s="100"/>
      <c r="BN16" s="100"/>
      <c r="BO16" s="100"/>
      <c r="BP16" s="100"/>
      <c r="BQ16" s="100"/>
      <c r="BR16" s="100"/>
      <c r="BS16" s="100"/>
      <c r="BT16" s="100"/>
      <c r="BU16" s="100"/>
      <c r="BV16" s="100"/>
      <c r="BW16" s="100"/>
      <c r="BX16" s="100"/>
      <c r="BY16" s="100"/>
      <c r="BZ16" s="100"/>
      <c r="CA16" s="100"/>
      <c r="CB16" s="100"/>
      <c r="CC16" s="100"/>
      <c r="CD16" s="100"/>
      <c r="CE16" s="100"/>
      <c r="CF16" s="100"/>
      <c r="CG16" s="100"/>
      <c r="CH16" s="100"/>
      <c r="CI16" s="100"/>
      <c r="CJ16" s="100"/>
      <c r="CK16" s="100"/>
      <c r="CL16" s="100"/>
      <c r="CM16" s="100"/>
      <c r="CN16" s="100"/>
      <c r="CO16" s="100"/>
      <c r="CP16" s="100"/>
      <c r="CQ16" s="100"/>
      <c r="CR16" s="100"/>
      <c r="CS16" s="100"/>
      <c r="CT16" s="100"/>
      <c r="CU16" s="100"/>
      <c r="CV16" s="100"/>
      <c r="CW16" s="100"/>
      <c r="CX16" s="100"/>
      <c r="CY16" s="100"/>
      <c r="CZ16" s="100"/>
      <c r="DA16" s="100"/>
      <c r="DB16" s="100"/>
    </row>
    <row r="17" spans="2:106" ht="11.1" customHeight="1" x14ac:dyDescent="0.3">
      <c r="B17" s="158"/>
      <c r="C17" s="88" t="s">
        <v>38</v>
      </c>
      <c r="D17" s="92" t="s">
        <v>116</v>
      </c>
      <c r="E17" s="97" t="s">
        <v>16</v>
      </c>
      <c r="F17" s="101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0"/>
      <c r="BF17" s="100"/>
      <c r="BG17" s="100"/>
      <c r="BH17" s="100"/>
      <c r="BI17" s="100"/>
      <c r="BJ17" s="100"/>
      <c r="BK17" s="100"/>
      <c r="BL17" s="100"/>
      <c r="BM17" s="100"/>
      <c r="BN17" s="100"/>
      <c r="BO17" s="100"/>
      <c r="BP17" s="100"/>
      <c r="BQ17" s="100"/>
      <c r="BR17" s="100"/>
      <c r="BS17" s="100"/>
      <c r="BT17" s="100"/>
      <c r="BU17" s="100"/>
      <c r="BV17" s="100"/>
      <c r="BW17" s="100"/>
      <c r="BX17" s="100"/>
      <c r="BY17" s="100"/>
      <c r="BZ17" s="100"/>
      <c r="CA17" s="100"/>
      <c r="CB17" s="100"/>
      <c r="CC17" s="100"/>
      <c r="CD17" s="100"/>
      <c r="CE17" s="100"/>
      <c r="CF17" s="100"/>
      <c r="CG17" s="100"/>
      <c r="CH17" s="100"/>
      <c r="CI17" s="100"/>
      <c r="CJ17" s="100"/>
      <c r="CK17" s="100"/>
      <c r="CL17" s="100"/>
      <c r="CM17" s="100"/>
      <c r="CN17" s="100"/>
      <c r="CO17" s="100"/>
      <c r="CP17" s="100"/>
      <c r="CQ17" s="100"/>
      <c r="CR17" s="100"/>
      <c r="CS17" s="100"/>
      <c r="CT17" s="100"/>
      <c r="CU17" s="100"/>
      <c r="CV17" s="100"/>
      <c r="CW17" s="100"/>
      <c r="CX17" s="100"/>
      <c r="CY17" s="100"/>
      <c r="CZ17" s="100"/>
      <c r="DA17" s="100"/>
      <c r="DB17" s="100"/>
    </row>
    <row r="18" spans="2:106" ht="11.1" customHeight="1" x14ac:dyDescent="0.3">
      <c r="B18" s="156" t="s">
        <v>18</v>
      </c>
      <c r="C18" s="86" t="s">
        <v>39</v>
      </c>
      <c r="D18" s="94" t="s">
        <v>117</v>
      </c>
      <c r="E18" s="95" t="s">
        <v>15</v>
      </c>
      <c r="F18" s="101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0"/>
      <c r="BF18" s="100"/>
      <c r="BG18" s="100"/>
      <c r="BH18" s="100"/>
      <c r="BI18" s="100"/>
      <c r="BJ18" s="100"/>
      <c r="BK18" s="100"/>
      <c r="BL18" s="100"/>
      <c r="BM18" s="100"/>
      <c r="BN18" s="100"/>
      <c r="BO18" s="100"/>
      <c r="BP18" s="100"/>
      <c r="BQ18" s="100"/>
      <c r="BR18" s="100"/>
      <c r="BS18" s="100"/>
      <c r="BT18" s="100"/>
      <c r="BU18" s="100"/>
      <c r="BV18" s="100"/>
      <c r="BW18" s="100"/>
      <c r="BX18" s="100"/>
      <c r="BY18" s="100"/>
      <c r="BZ18" s="100"/>
      <c r="CA18" s="100"/>
      <c r="CB18" s="100"/>
      <c r="CC18" s="100"/>
      <c r="CD18" s="100"/>
      <c r="CE18" s="100"/>
      <c r="CF18" s="100"/>
      <c r="CG18" s="100"/>
      <c r="CH18" s="100"/>
      <c r="CI18" s="100"/>
      <c r="CJ18" s="100"/>
      <c r="CK18" s="100"/>
      <c r="CL18" s="100"/>
      <c r="CM18" s="100"/>
      <c r="CN18" s="100"/>
      <c r="CO18" s="100"/>
      <c r="CP18" s="100"/>
      <c r="CQ18" s="100"/>
      <c r="CR18" s="100"/>
      <c r="CS18" s="100"/>
      <c r="CT18" s="100"/>
      <c r="CU18" s="100"/>
      <c r="CV18" s="100"/>
      <c r="CW18" s="100"/>
      <c r="CX18" s="100"/>
      <c r="CY18" s="100"/>
      <c r="CZ18" s="100"/>
      <c r="DA18" s="100"/>
      <c r="DB18" s="100"/>
    </row>
    <row r="19" spans="2:106" ht="11.1" customHeight="1" x14ac:dyDescent="0.3">
      <c r="B19" s="157"/>
      <c r="C19" s="87" t="s">
        <v>40</v>
      </c>
      <c r="D19" s="91" t="s">
        <v>118</v>
      </c>
      <c r="E19" s="96" t="s">
        <v>15</v>
      </c>
      <c r="F19" s="101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0"/>
      <c r="AQ19" s="100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0"/>
      <c r="BF19" s="100"/>
      <c r="BG19" s="100"/>
      <c r="BH19" s="100"/>
      <c r="BI19" s="100"/>
      <c r="BJ19" s="100"/>
      <c r="BK19" s="100"/>
      <c r="BL19" s="100"/>
      <c r="BM19" s="100"/>
      <c r="BN19" s="100"/>
      <c r="BO19" s="100"/>
      <c r="BP19" s="100"/>
      <c r="BQ19" s="100"/>
      <c r="BR19" s="100"/>
      <c r="BS19" s="100"/>
      <c r="BT19" s="100"/>
      <c r="BU19" s="100"/>
      <c r="BV19" s="100"/>
      <c r="BW19" s="100"/>
      <c r="BX19" s="100"/>
      <c r="BY19" s="100"/>
      <c r="BZ19" s="100"/>
      <c r="CA19" s="100"/>
      <c r="CB19" s="100"/>
      <c r="CC19" s="100"/>
      <c r="CD19" s="100"/>
      <c r="CE19" s="100"/>
      <c r="CF19" s="100"/>
      <c r="CG19" s="100"/>
      <c r="CH19" s="100"/>
      <c r="CI19" s="100"/>
      <c r="CJ19" s="100"/>
      <c r="CK19" s="100"/>
      <c r="CL19" s="100"/>
      <c r="CM19" s="100"/>
      <c r="CN19" s="100"/>
      <c r="CO19" s="100"/>
      <c r="CP19" s="100"/>
      <c r="CQ19" s="100"/>
      <c r="CR19" s="100"/>
      <c r="CS19" s="100"/>
      <c r="CT19" s="100"/>
      <c r="CU19" s="100"/>
      <c r="CV19" s="100"/>
      <c r="CW19" s="100"/>
      <c r="CX19" s="100"/>
      <c r="CY19" s="100"/>
      <c r="CZ19" s="100"/>
      <c r="DA19" s="100"/>
      <c r="DB19" s="100"/>
    </row>
    <row r="20" spans="2:106" ht="11.1" customHeight="1" x14ac:dyDescent="0.3">
      <c r="B20" s="157"/>
      <c r="C20" s="87" t="s">
        <v>41</v>
      </c>
      <c r="D20" s="91" t="s">
        <v>119</v>
      </c>
      <c r="E20" s="96" t="s">
        <v>15</v>
      </c>
      <c r="F20" s="101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0"/>
      <c r="AQ20" s="100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0"/>
      <c r="BF20" s="100"/>
      <c r="BG20" s="100"/>
      <c r="BH20" s="100"/>
      <c r="BI20" s="100"/>
      <c r="BJ20" s="100"/>
      <c r="BK20" s="100"/>
      <c r="BL20" s="100"/>
      <c r="BM20" s="100"/>
      <c r="BN20" s="100"/>
      <c r="BO20" s="100"/>
      <c r="BP20" s="100"/>
      <c r="BQ20" s="100"/>
      <c r="BR20" s="100"/>
      <c r="BS20" s="100"/>
      <c r="BT20" s="100"/>
      <c r="BU20" s="100"/>
      <c r="BV20" s="100"/>
      <c r="BW20" s="100"/>
      <c r="BX20" s="100"/>
      <c r="BY20" s="100"/>
      <c r="BZ20" s="100"/>
      <c r="CA20" s="100"/>
      <c r="CB20" s="100"/>
      <c r="CC20" s="100"/>
      <c r="CD20" s="100"/>
      <c r="CE20" s="100"/>
      <c r="CF20" s="100"/>
      <c r="CG20" s="100"/>
      <c r="CH20" s="100"/>
      <c r="CI20" s="100"/>
      <c r="CJ20" s="100"/>
      <c r="CK20" s="100"/>
      <c r="CL20" s="100"/>
      <c r="CM20" s="100"/>
      <c r="CN20" s="100"/>
      <c r="CO20" s="100"/>
      <c r="CP20" s="100"/>
      <c r="CQ20" s="100"/>
      <c r="CR20" s="100"/>
      <c r="CS20" s="100"/>
      <c r="CT20" s="100"/>
      <c r="CU20" s="100"/>
      <c r="CV20" s="100"/>
      <c r="CW20" s="100"/>
      <c r="CX20" s="100"/>
      <c r="CY20" s="100"/>
      <c r="CZ20" s="100"/>
      <c r="DA20" s="100"/>
      <c r="DB20" s="100"/>
    </row>
    <row r="21" spans="2:106" ht="11.1" customHeight="1" x14ac:dyDescent="0.3">
      <c r="B21" s="157"/>
      <c r="C21" s="87" t="s">
        <v>42</v>
      </c>
      <c r="D21" s="91" t="s">
        <v>120</v>
      </c>
      <c r="E21" s="96" t="s">
        <v>15</v>
      </c>
      <c r="F21" s="101"/>
      <c r="G21" s="100"/>
      <c r="H21" s="100"/>
      <c r="I21" s="100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0"/>
      <c r="AQ21" s="100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0"/>
      <c r="BF21" s="100"/>
      <c r="BG21" s="100"/>
      <c r="BH21" s="100"/>
      <c r="BI21" s="100"/>
      <c r="BJ21" s="100"/>
      <c r="BK21" s="100"/>
      <c r="BL21" s="100"/>
      <c r="BM21" s="100"/>
      <c r="BN21" s="100"/>
      <c r="BO21" s="100"/>
      <c r="BP21" s="100"/>
      <c r="BQ21" s="100"/>
      <c r="BR21" s="100"/>
      <c r="BS21" s="100"/>
      <c r="BT21" s="100"/>
      <c r="BU21" s="100"/>
      <c r="BV21" s="100"/>
      <c r="BW21" s="100"/>
      <c r="BX21" s="100"/>
      <c r="BY21" s="100"/>
      <c r="BZ21" s="100"/>
      <c r="CA21" s="100"/>
      <c r="CB21" s="100"/>
      <c r="CC21" s="100"/>
      <c r="CD21" s="100"/>
      <c r="CE21" s="100"/>
      <c r="CF21" s="100"/>
      <c r="CG21" s="100"/>
      <c r="CH21" s="100"/>
      <c r="CI21" s="100"/>
      <c r="CJ21" s="100"/>
      <c r="CK21" s="100"/>
      <c r="CL21" s="100"/>
      <c r="CM21" s="100"/>
      <c r="CN21" s="100"/>
      <c r="CO21" s="100"/>
      <c r="CP21" s="100"/>
      <c r="CQ21" s="100"/>
      <c r="CR21" s="100"/>
      <c r="CS21" s="100"/>
      <c r="CT21" s="100"/>
      <c r="CU21" s="100"/>
      <c r="CV21" s="100"/>
      <c r="CW21" s="100"/>
      <c r="CX21" s="100"/>
      <c r="CY21" s="100"/>
      <c r="CZ21" s="100"/>
      <c r="DA21" s="100"/>
      <c r="DB21" s="100"/>
    </row>
    <row r="22" spans="2:106" ht="11.1" customHeight="1" x14ac:dyDescent="0.3">
      <c r="B22" s="157"/>
      <c r="C22" s="87" t="s">
        <v>43</v>
      </c>
      <c r="D22" s="91" t="s">
        <v>121</v>
      </c>
      <c r="E22" s="96" t="s">
        <v>15</v>
      </c>
      <c r="F22" s="101"/>
      <c r="G22" s="100"/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0"/>
      <c r="AQ22" s="100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0"/>
      <c r="BF22" s="100"/>
      <c r="BG22" s="100"/>
      <c r="BH22" s="100"/>
      <c r="BI22" s="100"/>
      <c r="BJ22" s="100"/>
      <c r="BK22" s="100"/>
      <c r="BL22" s="100"/>
      <c r="BM22" s="100"/>
      <c r="BN22" s="100"/>
      <c r="BO22" s="100"/>
      <c r="BP22" s="100"/>
      <c r="BQ22" s="100"/>
      <c r="BR22" s="100"/>
      <c r="BS22" s="100"/>
      <c r="BT22" s="100"/>
      <c r="BU22" s="100"/>
      <c r="BV22" s="100"/>
      <c r="BW22" s="100"/>
      <c r="BX22" s="100"/>
      <c r="BY22" s="100"/>
      <c r="BZ22" s="100"/>
      <c r="CA22" s="100"/>
      <c r="CB22" s="100"/>
      <c r="CC22" s="100"/>
      <c r="CD22" s="100"/>
      <c r="CE22" s="100"/>
      <c r="CF22" s="100"/>
      <c r="CG22" s="100"/>
      <c r="CH22" s="100"/>
      <c r="CI22" s="100"/>
      <c r="CJ22" s="100"/>
      <c r="CK22" s="100"/>
      <c r="CL22" s="100"/>
      <c r="CM22" s="100"/>
      <c r="CN22" s="100"/>
      <c r="CO22" s="100"/>
      <c r="CP22" s="100"/>
      <c r="CQ22" s="100"/>
      <c r="CR22" s="100"/>
      <c r="CS22" s="100"/>
      <c r="CT22" s="100"/>
      <c r="CU22" s="100"/>
      <c r="CV22" s="100"/>
      <c r="CW22" s="100"/>
      <c r="CX22" s="100"/>
      <c r="CY22" s="100"/>
      <c r="CZ22" s="100"/>
      <c r="DA22" s="100"/>
      <c r="DB22" s="100"/>
    </row>
    <row r="23" spans="2:106" ht="11.1" customHeight="1" x14ac:dyDescent="0.3">
      <c r="B23" s="157"/>
      <c r="C23" s="87" t="s">
        <v>44</v>
      </c>
      <c r="D23" s="91" t="s">
        <v>122</v>
      </c>
      <c r="E23" s="96" t="s">
        <v>15</v>
      </c>
      <c r="F23" s="101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00"/>
      <c r="BV23" s="100"/>
      <c r="BW23" s="100"/>
      <c r="BX23" s="100"/>
      <c r="BY23" s="100"/>
      <c r="BZ23" s="100"/>
      <c r="CA23" s="100"/>
      <c r="CB23" s="100"/>
      <c r="CC23" s="100"/>
      <c r="CD23" s="100"/>
      <c r="CE23" s="100"/>
      <c r="CF23" s="100"/>
      <c r="CG23" s="100"/>
      <c r="CH23" s="100"/>
      <c r="CI23" s="100"/>
      <c r="CJ23" s="100"/>
      <c r="CK23" s="100"/>
      <c r="CL23" s="100"/>
      <c r="CM23" s="100"/>
      <c r="CN23" s="100"/>
      <c r="CO23" s="100"/>
      <c r="CP23" s="100"/>
      <c r="CQ23" s="100"/>
      <c r="CR23" s="100"/>
      <c r="CS23" s="100"/>
      <c r="CT23" s="100"/>
      <c r="CU23" s="100"/>
      <c r="CV23" s="100"/>
      <c r="CW23" s="100"/>
      <c r="CX23" s="100"/>
      <c r="CY23" s="100"/>
      <c r="CZ23" s="100"/>
      <c r="DA23" s="100"/>
      <c r="DB23" s="100"/>
    </row>
    <row r="24" spans="2:106" ht="11.1" customHeight="1" x14ac:dyDescent="0.3">
      <c r="B24" s="157"/>
      <c r="C24" s="87" t="s">
        <v>45</v>
      </c>
      <c r="D24" s="91" t="s">
        <v>123</v>
      </c>
      <c r="E24" s="96" t="s">
        <v>15</v>
      </c>
      <c r="F24" s="101"/>
      <c r="G24" s="100"/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00"/>
      <c r="BM24" s="100"/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00"/>
      <c r="CP24" s="100"/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</row>
    <row r="25" spans="2:106" ht="11.1" customHeight="1" x14ac:dyDescent="0.3">
      <c r="B25" s="157"/>
      <c r="C25" s="87" t="s">
        <v>46</v>
      </c>
      <c r="D25" s="91" t="s">
        <v>124</v>
      </c>
      <c r="E25" s="96" t="s">
        <v>15</v>
      </c>
      <c r="F25" s="101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0"/>
      <c r="AQ25" s="100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0"/>
      <c r="BF25" s="100"/>
      <c r="BG25" s="100"/>
      <c r="BH25" s="100"/>
      <c r="BI25" s="100"/>
      <c r="BJ25" s="100"/>
      <c r="BK25" s="100"/>
      <c r="BL25" s="100"/>
      <c r="BM25" s="100"/>
      <c r="BN25" s="100"/>
      <c r="BO25" s="100"/>
      <c r="BP25" s="100"/>
      <c r="BQ25" s="100"/>
      <c r="BR25" s="100"/>
      <c r="BS25" s="100"/>
      <c r="BT25" s="100"/>
      <c r="BU25" s="100"/>
      <c r="BV25" s="100"/>
      <c r="BW25" s="100"/>
      <c r="BX25" s="100"/>
      <c r="BY25" s="100"/>
      <c r="BZ25" s="100"/>
      <c r="CA25" s="100"/>
      <c r="CB25" s="100"/>
      <c r="CC25" s="100"/>
      <c r="CD25" s="100"/>
      <c r="CE25" s="100"/>
      <c r="CF25" s="100"/>
      <c r="CG25" s="100"/>
      <c r="CH25" s="100"/>
      <c r="CI25" s="100"/>
      <c r="CJ25" s="100"/>
      <c r="CK25" s="100"/>
      <c r="CL25" s="100"/>
      <c r="CM25" s="100"/>
      <c r="CN25" s="100"/>
      <c r="CO25" s="100"/>
      <c r="CP25" s="100"/>
      <c r="CQ25" s="100"/>
      <c r="CR25" s="100"/>
      <c r="CS25" s="100"/>
      <c r="CT25" s="100"/>
      <c r="CU25" s="100"/>
      <c r="CV25" s="100"/>
      <c r="CW25" s="100"/>
      <c r="CX25" s="100"/>
      <c r="CY25" s="100"/>
      <c r="CZ25" s="100"/>
      <c r="DA25" s="100"/>
      <c r="DB25" s="100"/>
    </row>
    <row r="26" spans="2:106" ht="11.1" customHeight="1" x14ac:dyDescent="0.3">
      <c r="B26" s="157"/>
      <c r="C26" s="87" t="s">
        <v>47</v>
      </c>
      <c r="D26" s="91" t="s">
        <v>125</v>
      </c>
      <c r="E26" s="96" t="s">
        <v>15</v>
      </c>
      <c r="F26" s="101"/>
      <c r="G26" s="100"/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0"/>
      <c r="AQ26" s="100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0"/>
      <c r="BF26" s="100"/>
      <c r="BG26" s="100"/>
      <c r="BH26" s="100"/>
      <c r="BI26" s="100"/>
      <c r="BJ26" s="100"/>
      <c r="BK26" s="100"/>
      <c r="BL26" s="100"/>
      <c r="BM26" s="100"/>
      <c r="BN26" s="100"/>
      <c r="BO26" s="100"/>
      <c r="BP26" s="100"/>
      <c r="BQ26" s="100"/>
      <c r="BR26" s="100"/>
      <c r="BS26" s="100"/>
      <c r="BT26" s="100"/>
      <c r="BU26" s="100"/>
      <c r="BV26" s="100"/>
      <c r="BW26" s="100"/>
      <c r="BX26" s="100"/>
      <c r="BY26" s="100"/>
      <c r="BZ26" s="100"/>
      <c r="CA26" s="100"/>
      <c r="CB26" s="100"/>
      <c r="CC26" s="100"/>
      <c r="CD26" s="100"/>
      <c r="CE26" s="100"/>
      <c r="CF26" s="100"/>
      <c r="CG26" s="100"/>
      <c r="CH26" s="100"/>
      <c r="CI26" s="100"/>
      <c r="CJ26" s="100"/>
      <c r="CK26" s="100"/>
      <c r="CL26" s="100"/>
      <c r="CM26" s="100"/>
      <c r="CN26" s="100"/>
      <c r="CO26" s="100"/>
      <c r="CP26" s="100"/>
      <c r="CQ26" s="100"/>
      <c r="CR26" s="100"/>
      <c r="CS26" s="100"/>
      <c r="CT26" s="100"/>
      <c r="CU26" s="100"/>
      <c r="CV26" s="100"/>
      <c r="CW26" s="100"/>
      <c r="CX26" s="100"/>
      <c r="CY26" s="100"/>
      <c r="CZ26" s="100"/>
      <c r="DA26" s="100"/>
      <c r="DB26" s="100"/>
    </row>
    <row r="27" spans="2:106" ht="11.1" customHeight="1" x14ac:dyDescent="0.3">
      <c r="B27" s="157"/>
      <c r="C27" s="87" t="s">
        <v>48</v>
      </c>
      <c r="D27" s="91" t="s">
        <v>126</v>
      </c>
      <c r="E27" s="96" t="s">
        <v>15</v>
      </c>
      <c r="F27" s="101"/>
      <c r="G27" s="100"/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0"/>
      <c r="AQ27" s="100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0"/>
      <c r="BF27" s="100"/>
      <c r="BG27" s="100"/>
      <c r="BH27" s="100"/>
      <c r="BI27" s="100"/>
      <c r="BJ27" s="100"/>
      <c r="BK27" s="100"/>
      <c r="BL27" s="100"/>
      <c r="BM27" s="100"/>
      <c r="BN27" s="100"/>
      <c r="BO27" s="100"/>
      <c r="BP27" s="100"/>
      <c r="BQ27" s="100"/>
      <c r="BR27" s="100"/>
      <c r="BS27" s="100"/>
      <c r="BT27" s="100"/>
      <c r="BU27" s="100"/>
      <c r="BV27" s="100"/>
      <c r="BW27" s="100"/>
      <c r="BX27" s="100"/>
      <c r="BY27" s="100"/>
      <c r="BZ27" s="100"/>
      <c r="CA27" s="100"/>
      <c r="CB27" s="100"/>
      <c r="CC27" s="100"/>
      <c r="CD27" s="100"/>
      <c r="CE27" s="100"/>
      <c r="CF27" s="100"/>
      <c r="CG27" s="100"/>
      <c r="CH27" s="100"/>
      <c r="CI27" s="100"/>
      <c r="CJ27" s="100"/>
      <c r="CK27" s="100"/>
      <c r="CL27" s="100"/>
      <c r="CM27" s="100"/>
      <c r="CN27" s="100"/>
      <c r="CO27" s="100"/>
      <c r="CP27" s="100"/>
      <c r="CQ27" s="100"/>
      <c r="CR27" s="100"/>
      <c r="CS27" s="100"/>
      <c r="CT27" s="100"/>
      <c r="CU27" s="100"/>
      <c r="CV27" s="100"/>
      <c r="CW27" s="100"/>
      <c r="CX27" s="100"/>
      <c r="CY27" s="100"/>
      <c r="CZ27" s="100"/>
      <c r="DA27" s="100"/>
      <c r="DB27" s="100"/>
    </row>
    <row r="28" spans="2:106" ht="11.1" customHeight="1" x14ac:dyDescent="0.3">
      <c r="B28" s="157"/>
      <c r="C28" s="87" t="s">
        <v>49</v>
      </c>
      <c r="D28" s="91" t="s">
        <v>127</v>
      </c>
      <c r="E28" s="96" t="s">
        <v>15</v>
      </c>
      <c r="F28" s="101"/>
      <c r="G28" s="100"/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0"/>
      <c r="BF28" s="100"/>
      <c r="BG28" s="100"/>
      <c r="BH28" s="100"/>
      <c r="BI28" s="100"/>
      <c r="BJ28" s="100"/>
      <c r="BK28" s="100"/>
      <c r="BL28" s="100"/>
      <c r="BM28" s="100"/>
      <c r="BN28" s="100"/>
      <c r="BO28" s="100"/>
      <c r="BP28" s="100"/>
      <c r="BQ28" s="100"/>
      <c r="BR28" s="100"/>
      <c r="BS28" s="100"/>
      <c r="BT28" s="100"/>
      <c r="BU28" s="100"/>
      <c r="BV28" s="100"/>
      <c r="BW28" s="100"/>
      <c r="BX28" s="100"/>
      <c r="BY28" s="100"/>
      <c r="BZ28" s="100"/>
      <c r="CA28" s="100"/>
      <c r="CB28" s="100"/>
      <c r="CC28" s="100"/>
      <c r="CD28" s="100"/>
      <c r="CE28" s="100"/>
      <c r="CF28" s="100"/>
      <c r="CG28" s="100"/>
      <c r="CH28" s="100"/>
      <c r="CI28" s="100"/>
      <c r="CJ28" s="100"/>
      <c r="CK28" s="100"/>
      <c r="CL28" s="100"/>
      <c r="CM28" s="100"/>
      <c r="CN28" s="100"/>
      <c r="CO28" s="100"/>
      <c r="CP28" s="100"/>
      <c r="CQ28" s="100"/>
      <c r="CR28" s="100"/>
      <c r="CS28" s="100"/>
      <c r="CT28" s="100"/>
      <c r="CU28" s="100"/>
      <c r="CV28" s="100"/>
      <c r="CW28" s="100"/>
      <c r="CX28" s="100"/>
      <c r="CY28" s="100"/>
      <c r="CZ28" s="100"/>
      <c r="DA28" s="100"/>
      <c r="DB28" s="100"/>
    </row>
    <row r="29" spans="2:106" ht="11.1" customHeight="1" x14ac:dyDescent="0.3">
      <c r="B29" s="157"/>
      <c r="C29" s="87" t="s">
        <v>50</v>
      </c>
      <c r="D29" s="91" t="s">
        <v>128</v>
      </c>
      <c r="E29" s="96" t="s">
        <v>15</v>
      </c>
      <c r="F29" s="101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0"/>
      <c r="BF29" s="100"/>
      <c r="BG29" s="100"/>
      <c r="BH29" s="100"/>
      <c r="BI29" s="100"/>
      <c r="BJ29" s="100"/>
      <c r="BK29" s="100"/>
      <c r="BL29" s="100"/>
      <c r="BM29" s="100"/>
      <c r="BN29" s="100"/>
      <c r="BO29" s="100"/>
      <c r="BP29" s="100"/>
      <c r="BQ29" s="100"/>
      <c r="BR29" s="100"/>
      <c r="BS29" s="100"/>
      <c r="BT29" s="100"/>
      <c r="BU29" s="100"/>
      <c r="BV29" s="100"/>
      <c r="BW29" s="100"/>
      <c r="BX29" s="100"/>
      <c r="BY29" s="100"/>
      <c r="BZ29" s="100"/>
      <c r="CA29" s="100"/>
      <c r="CB29" s="100"/>
      <c r="CC29" s="100"/>
      <c r="CD29" s="100"/>
      <c r="CE29" s="100"/>
      <c r="CF29" s="100"/>
      <c r="CG29" s="100"/>
      <c r="CH29" s="100"/>
      <c r="CI29" s="100"/>
      <c r="CJ29" s="100"/>
      <c r="CK29" s="100"/>
      <c r="CL29" s="100"/>
      <c r="CM29" s="100"/>
      <c r="CN29" s="100"/>
      <c r="CO29" s="100"/>
      <c r="CP29" s="100"/>
      <c r="CQ29" s="100"/>
      <c r="CR29" s="100"/>
      <c r="CS29" s="100"/>
      <c r="CT29" s="100"/>
      <c r="CU29" s="100"/>
      <c r="CV29" s="100"/>
      <c r="CW29" s="100"/>
      <c r="CX29" s="100"/>
      <c r="CY29" s="100"/>
      <c r="CZ29" s="100"/>
      <c r="DA29" s="100"/>
      <c r="DB29" s="100"/>
    </row>
    <row r="30" spans="2:106" ht="11.1" customHeight="1" x14ac:dyDescent="0.3">
      <c r="B30" s="157"/>
      <c r="C30" s="87" t="s">
        <v>51</v>
      </c>
      <c r="D30" s="91" t="s">
        <v>129</v>
      </c>
      <c r="E30" s="96" t="s">
        <v>15</v>
      </c>
      <c r="F30" s="101"/>
      <c r="G30" s="100"/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0"/>
      <c r="AQ30" s="100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0"/>
      <c r="BF30" s="100"/>
      <c r="BG30" s="100"/>
      <c r="BH30" s="100"/>
      <c r="BI30" s="100"/>
      <c r="BJ30" s="100"/>
      <c r="BK30" s="100"/>
      <c r="BL30" s="100"/>
      <c r="BM30" s="100"/>
      <c r="BN30" s="100"/>
      <c r="BO30" s="100"/>
      <c r="BP30" s="100"/>
      <c r="BQ30" s="100"/>
      <c r="BR30" s="100"/>
      <c r="BS30" s="100"/>
      <c r="BT30" s="100"/>
      <c r="BU30" s="100"/>
      <c r="BV30" s="100"/>
      <c r="BW30" s="100"/>
      <c r="BX30" s="100"/>
      <c r="BY30" s="100"/>
      <c r="BZ30" s="100"/>
      <c r="CA30" s="100"/>
      <c r="CB30" s="100"/>
      <c r="CC30" s="100"/>
      <c r="CD30" s="100"/>
      <c r="CE30" s="100"/>
      <c r="CF30" s="100"/>
      <c r="CG30" s="100"/>
      <c r="CH30" s="100"/>
      <c r="CI30" s="100"/>
      <c r="CJ30" s="100"/>
      <c r="CK30" s="100"/>
      <c r="CL30" s="100"/>
      <c r="CM30" s="100"/>
      <c r="CN30" s="100"/>
      <c r="CO30" s="100"/>
      <c r="CP30" s="100"/>
      <c r="CQ30" s="100"/>
      <c r="CR30" s="100"/>
      <c r="CS30" s="100"/>
      <c r="CT30" s="100"/>
      <c r="CU30" s="100"/>
      <c r="CV30" s="100"/>
      <c r="CW30" s="100"/>
      <c r="CX30" s="100"/>
      <c r="CY30" s="100"/>
      <c r="CZ30" s="100"/>
      <c r="DA30" s="100"/>
      <c r="DB30" s="100"/>
    </row>
    <row r="31" spans="2:106" ht="11.1" customHeight="1" x14ac:dyDescent="0.3">
      <c r="B31" s="157"/>
      <c r="C31" s="87" t="s">
        <v>52</v>
      </c>
      <c r="D31" s="91" t="s">
        <v>130</v>
      </c>
      <c r="E31" s="96" t="s">
        <v>15</v>
      </c>
      <c r="F31" s="101"/>
      <c r="G31" s="100"/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0"/>
      <c r="AQ31" s="100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0"/>
      <c r="BF31" s="100"/>
      <c r="BG31" s="100"/>
      <c r="BH31" s="100"/>
      <c r="BI31" s="100"/>
      <c r="BJ31" s="100"/>
      <c r="BK31" s="100"/>
      <c r="BL31" s="100"/>
      <c r="BM31" s="100"/>
      <c r="BN31" s="100"/>
      <c r="BO31" s="100"/>
      <c r="BP31" s="100"/>
      <c r="BQ31" s="100"/>
      <c r="BR31" s="100"/>
      <c r="BS31" s="100"/>
      <c r="BT31" s="100"/>
      <c r="BU31" s="100"/>
      <c r="BV31" s="100"/>
      <c r="BW31" s="100"/>
      <c r="BX31" s="100"/>
      <c r="BY31" s="100"/>
      <c r="BZ31" s="100"/>
      <c r="CA31" s="100"/>
      <c r="CB31" s="100"/>
      <c r="CC31" s="100"/>
      <c r="CD31" s="100"/>
      <c r="CE31" s="100"/>
      <c r="CF31" s="100"/>
      <c r="CG31" s="100"/>
      <c r="CH31" s="100"/>
      <c r="CI31" s="100"/>
      <c r="CJ31" s="100"/>
      <c r="CK31" s="100"/>
      <c r="CL31" s="100"/>
      <c r="CM31" s="100"/>
      <c r="CN31" s="100"/>
      <c r="CO31" s="100"/>
      <c r="CP31" s="100"/>
      <c r="CQ31" s="100"/>
      <c r="CR31" s="100"/>
      <c r="CS31" s="100"/>
      <c r="CT31" s="100"/>
      <c r="CU31" s="100"/>
      <c r="CV31" s="100"/>
      <c r="CW31" s="100"/>
      <c r="CX31" s="100"/>
      <c r="CY31" s="100"/>
      <c r="CZ31" s="100"/>
      <c r="DA31" s="100"/>
      <c r="DB31" s="100"/>
    </row>
    <row r="32" spans="2:106" ht="11.1" customHeight="1" x14ac:dyDescent="0.3">
      <c r="B32" s="157"/>
      <c r="C32" s="87" t="s">
        <v>53</v>
      </c>
      <c r="D32" s="91" t="s">
        <v>131</v>
      </c>
      <c r="E32" s="96" t="s">
        <v>15</v>
      </c>
      <c r="F32" s="101"/>
      <c r="G32" s="100"/>
      <c r="H32" s="100"/>
      <c r="I32" s="100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0"/>
      <c r="AQ32" s="100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0"/>
      <c r="BF32" s="100"/>
      <c r="BG32" s="100"/>
      <c r="BH32" s="100"/>
      <c r="BI32" s="100"/>
      <c r="BJ32" s="100"/>
      <c r="BK32" s="100"/>
      <c r="BL32" s="100"/>
      <c r="BM32" s="100"/>
      <c r="BN32" s="100"/>
      <c r="BO32" s="100"/>
      <c r="BP32" s="100"/>
      <c r="BQ32" s="100"/>
      <c r="BR32" s="100"/>
      <c r="BS32" s="100"/>
      <c r="BT32" s="100"/>
      <c r="BU32" s="100"/>
      <c r="BV32" s="100"/>
      <c r="BW32" s="100"/>
      <c r="BX32" s="100"/>
      <c r="BY32" s="100"/>
      <c r="BZ32" s="100"/>
      <c r="CA32" s="100"/>
      <c r="CB32" s="100"/>
      <c r="CC32" s="100"/>
      <c r="CD32" s="100"/>
      <c r="CE32" s="100"/>
      <c r="CF32" s="100"/>
      <c r="CG32" s="100"/>
      <c r="CH32" s="100"/>
      <c r="CI32" s="100"/>
      <c r="CJ32" s="100"/>
      <c r="CK32" s="100"/>
      <c r="CL32" s="100"/>
      <c r="CM32" s="100"/>
      <c r="CN32" s="100"/>
      <c r="CO32" s="100"/>
      <c r="CP32" s="100"/>
      <c r="CQ32" s="100"/>
      <c r="CR32" s="100"/>
      <c r="CS32" s="100"/>
      <c r="CT32" s="100"/>
      <c r="CU32" s="100"/>
      <c r="CV32" s="100"/>
      <c r="CW32" s="100"/>
      <c r="CX32" s="100"/>
      <c r="CY32" s="100"/>
      <c r="CZ32" s="100"/>
      <c r="DA32" s="100"/>
      <c r="DB32" s="100"/>
    </row>
    <row r="33" spans="2:106" ht="11.1" customHeight="1" x14ac:dyDescent="0.3">
      <c r="B33" s="157"/>
      <c r="C33" s="87" t="s">
        <v>54</v>
      </c>
      <c r="D33" s="91" t="s">
        <v>132</v>
      </c>
      <c r="E33" s="96" t="s">
        <v>17</v>
      </c>
      <c r="F33" s="101"/>
      <c r="G33" s="100"/>
      <c r="H33" s="100"/>
      <c r="I33" s="100"/>
      <c r="J33" s="100"/>
      <c r="K33" s="100"/>
      <c r="L33" s="100"/>
      <c r="M33" s="100"/>
      <c r="N33" s="100"/>
      <c r="O33" s="100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0"/>
      <c r="BF33" s="100"/>
      <c r="BG33" s="100"/>
      <c r="BH33" s="100"/>
      <c r="BI33" s="100"/>
      <c r="BJ33" s="100"/>
      <c r="BK33" s="100"/>
      <c r="BL33" s="100"/>
      <c r="BM33" s="100"/>
      <c r="BN33" s="100"/>
      <c r="BO33" s="100"/>
      <c r="BP33" s="100"/>
      <c r="BQ33" s="100"/>
      <c r="BR33" s="100"/>
      <c r="BS33" s="100"/>
      <c r="BT33" s="100"/>
      <c r="BU33" s="100"/>
      <c r="BV33" s="100"/>
      <c r="BW33" s="100"/>
      <c r="BX33" s="100"/>
      <c r="BY33" s="100"/>
      <c r="BZ33" s="100"/>
      <c r="CA33" s="100"/>
      <c r="CB33" s="100"/>
      <c r="CC33" s="100"/>
      <c r="CD33" s="100"/>
      <c r="CE33" s="100"/>
      <c r="CF33" s="100"/>
      <c r="CG33" s="100"/>
      <c r="CH33" s="100"/>
      <c r="CI33" s="100"/>
      <c r="CJ33" s="100"/>
      <c r="CK33" s="100"/>
      <c r="CL33" s="100"/>
      <c r="CM33" s="100"/>
      <c r="CN33" s="100"/>
      <c r="CO33" s="100"/>
      <c r="CP33" s="100"/>
      <c r="CQ33" s="100"/>
      <c r="CR33" s="100"/>
      <c r="CS33" s="100"/>
      <c r="CT33" s="100"/>
      <c r="CU33" s="100"/>
      <c r="CV33" s="100"/>
      <c r="CW33" s="100"/>
      <c r="CX33" s="100"/>
      <c r="CY33" s="100"/>
      <c r="CZ33" s="100"/>
      <c r="DA33" s="100"/>
      <c r="DB33" s="100"/>
    </row>
    <row r="34" spans="2:106" ht="11.1" customHeight="1" x14ac:dyDescent="0.3">
      <c r="B34" s="157"/>
      <c r="C34" s="87" t="s">
        <v>55</v>
      </c>
      <c r="D34" s="91" t="s">
        <v>133</v>
      </c>
      <c r="E34" s="96" t="s">
        <v>16</v>
      </c>
      <c r="F34" s="101"/>
      <c r="G34" s="100"/>
      <c r="H34" s="100"/>
      <c r="I34" s="100"/>
      <c r="J34" s="100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0"/>
      <c r="AQ34" s="100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0"/>
      <c r="BF34" s="100"/>
      <c r="BG34" s="100"/>
      <c r="BH34" s="100"/>
      <c r="BI34" s="100"/>
      <c r="BJ34" s="100"/>
      <c r="BK34" s="100"/>
      <c r="BL34" s="100"/>
      <c r="BM34" s="100"/>
      <c r="BN34" s="100"/>
      <c r="BO34" s="100"/>
      <c r="BP34" s="100"/>
      <c r="BQ34" s="100"/>
      <c r="BR34" s="100"/>
      <c r="BS34" s="100"/>
      <c r="BT34" s="100"/>
      <c r="BU34" s="100"/>
      <c r="BV34" s="100"/>
      <c r="BW34" s="100"/>
      <c r="BX34" s="100"/>
      <c r="BY34" s="100"/>
      <c r="BZ34" s="100"/>
      <c r="CA34" s="100"/>
      <c r="CB34" s="100"/>
      <c r="CC34" s="100"/>
      <c r="CD34" s="100"/>
      <c r="CE34" s="100"/>
      <c r="CF34" s="100"/>
      <c r="CG34" s="100"/>
      <c r="CH34" s="100"/>
      <c r="CI34" s="100"/>
      <c r="CJ34" s="100"/>
      <c r="CK34" s="100"/>
      <c r="CL34" s="100"/>
      <c r="CM34" s="100"/>
      <c r="CN34" s="100"/>
      <c r="CO34" s="100"/>
      <c r="CP34" s="100"/>
      <c r="CQ34" s="100"/>
      <c r="CR34" s="100"/>
      <c r="CS34" s="100"/>
      <c r="CT34" s="100"/>
      <c r="CU34" s="100"/>
      <c r="CV34" s="100"/>
      <c r="CW34" s="100"/>
      <c r="CX34" s="100"/>
      <c r="CY34" s="100"/>
      <c r="CZ34" s="100"/>
      <c r="DA34" s="100"/>
      <c r="DB34" s="100"/>
    </row>
    <row r="35" spans="2:106" ht="11.1" customHeight="1" x14ac:dyDescent="0.3">
      <c r="B35" s="157"/>
      <c r="C35" s="87" t="s">
        <v>56</v>
      </c>
      <c r="D35" s="91" t="s">
        <v>134</v>
      </c>
      <c r="E35" s="96" t="s">
        <v>16</v>
      </c>
      <c r="F35" s="101"/>
      <c r="G35" s="100"/>
      <c r="H35" s="100"/>
      <c r="I35" s="100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0"/>
      <c r="AQ35" s="100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100"/>
      <c r="BM35" s="100"/>
      <c r="BN35" s="100"/>
      <c r="BO35" s="100"/>
      <c r="BP35" s="100"/>
      <c r="BQ35" s="100"/>
      <c r="BR35" s="100"/>
      <c r="BS35" s="100"/>
      <c r="BT35" s="100"/>
      <c r="BU35" s="100"/>
      <c r="BV35" s="100"/>
      <c r="BW35" s="100"/>
      <c r="BX35" s="100"/>
      <c r="BY35" s="100"/>
      <c r="BZ35" s="100"/>
      <c r="CA35" s="100"/>
      <c r="CB35" s="100"/>
      <c r="CC35" s="100"/>
      <c r="CD35" s="100"/>
      <c r="CE35" s="100"/>
      <c r="CF35" s="100"/>
      <c r="CG35" s="100"/>
      <c r="CH35" s="100"/>
      <c r="CI35" s="100"/>
      <c r="CJ35" s="100"/>
      <c r="CK35" s="100"/>
      <c r="CL35" s="100"/>
      <c r="CM35" s="100"/>
      <c r="CN35" s="100"/>
      <c r="CO35" s="100"/>
      <c r="CP35" s="100"/>
      <c r="CQ35" s="100"/>
      <c r="CR35" s="100"/>
      <c r="CS35" s="100"/>
      <c r="CT35" s="100"/>
      <c r="CU35" s="100"/>
      <c r="CV35" s="100"/>
      <c r="CW35" s="100"/>
      <c r="CX35" s="100"/>
      <c r="CY35" s="100"/>
      <c r="CZ35" s="100"/>
      <c r="DA35" s="100"/>
      <c r="DB35" s="100"/>
    </row>
    <row r="36" spans="2:106" ht="11.1" customHeight="1" x14ac:dyDescent="0.3">
      <c r="B36" s="157"/>
      <c r="C36" s="87" t="s">
        <v>57</v>
      </c>
      <c r="D36" s="91" t="s">
        <v>135</v>
      </c>
      <c r="E36" s="96" t="s">
        <v>16</v>
      </c>
      <c r="F36" s="101"/>
      <c r="G36" s="100"/>
      <c r="H36" s="100"/>
      <c r="I36" s="100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00"/>
      <c r="AC36" s="100"/>
      <c r="AD36" s="100"/>
      <c r="AE36" s="100"/>
      <c r="AF36" s="100"/>
      <c r="AG36" s="100"/>
      <c r="AH36" s="100"/>
      <c r="AI36" s="100"/>
      <c r="AJ36" s="100"/>
      <c r="AK36" s="100"/>
      <c r="AL36" s="100"/>
      <c r="AM36" s="100"/>
      <c r="AN36" s="100"/>
      <c r="AO36" s="100"/>
      <c r="AP36" s="100"/>
      <c r="AQ36" s="100"/>
      <c r="AR36" s="100"/>
      <c r="AS36" s="100"/>
      <c r="AT36" s="100"/>
      <c r="AU36" s="100"/>
      <c r="AV36" s="100"/>
      <c r="AW36" s="100"/>
      <c r="AX36" s="100"/>
      <c r="AY36" s="100"/>
      <c r="AZ36" s="100"/>
      <c r="BA36" s="100"/>
      <c r="BB36" s="100"/>
      <c r="BC36" s="100"/>
      <c r="BD36" s="100"/>
      <c r="BE36" s="100"/>
      <c r="BF36" s="100"/>
      <c r="BG36" s="100"/>
      <c r="BH36" s="100"/>
      <c r="BI36" s="100"/>
      <c r="BJ36" s="100"/>
      <c r="BK36" s="100"/>
      <c r="BL36" s="100"/>
      <c r="BM36" s="100"/>
      <c r="BN36" s="100"/>
      <c r="BO36" s="100"/>
      <c r="BP36" s="100"/>
      <c r="BQ36" s="100"/>
      <c r="BR36" s="100"/>
      <c r="BS36" s="100"/>
      <c r="BT36" s="100"/>
      <c r="BU36" s="100"/>
      <c r="BV36" s="100"/>
      <c r="BW36" s="100"/>
      <c r="BX36" s="100"/>
      <c r="BY36" s="100"/>
      <c r="BZ36" s="100"/>
      <c r="CA36" s="100"/>
      <c r="CB36" s="100"/>
      <c r="CC36" s="100"/>
      <c r="CD36" s="100"/>
      <c r="CE36" s="100"/>
      <c r="CF36" s="100"/>
      <c r="CG36" s="100"/>
      <c r="CH36" s="100"/>
      <c r="CI36" s="100"/>
      <c r="CJ36" s="100"/>
      <c r="CK36" s="100"/>
      <c r="CL36" s="100"/>
      <c r="CM36" s="100"/>
      <c r="CN36" s="100"/>
      <c r="CO36" s="100"/>
      <c r="CP36" s="100"/>
      <c r="CQ36" s="100"/>
      <c r="CR36" s="100"/>
      <c r="CS36" s="100"/>
      <c r="CT36" s="100"/>
      <c r="CU36" s="100"/>
      <c r="CV36" s="100"/>
      <c r="CW36" s="100"/>
      <c r="CX36" s="100"/>
      <c r="CY36" s="100"/>
      <c r="CZ36" s="100"/>
      <c r="DA36" s="100"/>
      <c r="DB36" s="100"/>
    </row>
    <row r="37" spans="2:106" ht="11.1" customHeight="1" x14ac:dyDescent="0.3">
      <c r="B37" s="158"/>
      <c r="C37" s="88" t="s">
        <v>58</v>
      </c>
      <c r="D37" s="92" t="s">
        <v>136</v>
      </c>
      <c r="E37" s="97" t="s">
        <v>17</v>
      </c>
      <c r="F37" s="101"/>
      <c r="G37" s="100"/>
      <c r="H37" s="100"/>
      <c r="I37" s="100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00"/>
      <c r="AC37" s="100"/>
      <c r="AD37" s="100"/>
      <c r="AE37" s="100"/>
      <c r="AF37" s="100"/>
      <c r="AG37" s="100"/>
      <c r="AH37" s="100"/>
      <c r="AI37" s="100"/>
      <c r="AJ37" s="100"/>
      <c r="AK37" s="100"/>
      <c r="AL37" s="100"/>
      <c r="AM37" s="100"/>
      <c r="AN37" s="100"/>
      <c r="AO37" s="100"/>
      <c r="AP37" s="100"/>
      <c r="AQ37" s="100"/>
      <c r="AR37" s="100"/>
      <c r="AS37" s="100"/>
      <c r="AT37" s="100"/>
      <c r="AU37" s="100"/>
      <c r="AV37" s="100"/>
      <c r="AW37" s="100"/>
      <c r="AX37" s="100"/>
      <c r="AY37" s="100"/>
      <c r="AZ37" s="100"/>
      <c r="BA37" s="100"/>
      <c r="BB37" s="100"/>
      <c r="BC37" s="100"/>
      <c r="BD37" s="100"/>
      <c r="BE37" s="100"/>
      <c r="BF37" s="100"/>
      <c r="BG37" s="100"/>
      <c r="BH37" s="100"/>
      <c r="BI37" s="100"/>
      <c r="BJ37" s="100"/>
      <c r="BK37" s="100"/>
      <c r="BL37" s="100"/>
      <c r="BM37" s="100"/>
      <c r="BN37" s="100"/>
      <c r="BO37" s="100"/>
      <c r="BP37" s="100"/>
      <c r="BQ37" s="100"/>
      <c r="BR37" s="100"/>
      <c r="BS37" s="100"/>
      <c r="BT37" s="100"/>
      <c r="BU37" s="100"/>
      <c r="BV37" s="100"/>
      <c r="BW37" s="100"/>
      <c r="BX37" s="100"/>
      <c r="BY37" s="100"/>
      <c r="BZ37" s="100"/>
      <c r="CA37" s="100"/>
      <c r="CB37" s="100"/>
      <c r="CC37" s="100"/>
      <c r="CD37" s="100"/>
      <c r="CE37" s="100"/>
      <c r="CF37" s="100"/>
      <c r="CG37" s="100"/>
      <c r="CH37" s="100"/>
      <c r="CI37" s="100"/>
      <c r="CJ37" s="100"/>
      <c r="CK37" s="100"/>
      <c r="CL37" s="100"/>
      <c r="CM37" s="100"/>
      <c r="CN37" s="100"/>
      <c r="CO37" s="100"/>
      <c r="CP37" s="100"/>
      <c r="CQ37" s="100"/>
      <c r="CR37" s="100"/>
      <c r="CS37" s="100"/>
      <c r="CT37" s="100"/>
      <c r="CU37" s="100"/>
      <c r="CV37" s="100"/>
      <c r="CW37" s="100"/>
      <c r="CX37" s="100"/>
      <c r="CY37" s="100"/>
      <c r="CZ37" s="100"/>
      <c r="DA37" s="100"/>
      <c r="DB37" s="100"/>
    </row>
    <row r="38" spans="2:106" ht="11.1" customHeight="1" x14ac:dyDescent="0.3">
      <c r="B38" s="156" t="s">
        <v>19</v>
      </c>
      <c r="C38" s="86" t="s">
        <v>59</v>
      </c>
      <c r="D38" s="94" t="s">
        <v>137</v>
      </c>
      <c r="E38" s="95" t="s">
        <v>15</v>
      </c>
      <c r="F38" s="101"/>
      <c r="G38" s="100"/>
      <c r="H38" s="100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  <c r="AA38" s="100"/>
      <c r="AB38" s="100"/>
      <c r="AC38" s="100"/>
      <c r="AD38" s="100"/>
      <c r="AE38" s="100"/>
      <c r="AF38" s="100"/>
      <c r="AG38" s="100"/>
      <c r="AH38" s="100"/>
      <c r="AI38" s="100"/>
      <c r="AJ38" s="100"/>
      <c r="AK38" s="100"/>
      <c r="AL38" s="100"/>
      <c r="AM38" s="100"/>
      <c r="AN38" s="100"/>
      <c r="AO38" s="100"/>
      <c r="AP38" s="100"/>
      <c r="AQ38" s="100"/>
      <c r="AR38" s="100"/>
      <c r="AS38" s="100"/>
      <c r="AT38" s="100"/>
      <c r="AU38" s="100"/>
      <c r="AV38" s="100"/>
      <c r="AW38" s="100"/>
      <c r="AX38" s="100"/>
      <c r="AY38" s="100"/>
      <c r="AZ38" s="100"/>
      <c r="BA38" s="100"/>
      <c r="BB38" s="100"/>
      <c r="BC38" s="100"/>
      <c r="BD38" s="100"/>
      <c r="BE38" s="100"/>
      <c r="BF38" s="100"/>
      <c r="BG38" s="100"/>
      <c r="BH38" s="100"/>
      <c r="BI38" s="100"/>
      <c r="BJ38" s="100"/>
      <c r="BK38" s="100"/>
      <c r="BL38" s="100"/>
      <c r="BM38" s="100"/>
      <c r="BN38" s="100"/>
      <c r="BO38" s="100"/>
      <c r="BP38" s="100"/>
      <c r="BQ38" s="100"/>
      <c r="BR38" s="100"/>
      <c r="BS38" s="100"/>
      <c r="BT38" s="100"/>
      <c r="BU38" s="100"/>
      <c r="BV38" s="100"/>
      <c r="BW38" s="100"/>
      <c r="BX38" s="100"/>
      <c r="BY38" s="100"/>
      <c r="BZ38" s="100"/>
      <c r="CA38" s="100"/>
      <c r="CB38" s="100"/>
      <c r="CC38" s="100"/>
      <c r="CD38" s="100"/>
      <c r="CE38" s="100"/>
      <c r="CF38" s="100"/>
      <c r="CG38" s="100"/>
      <c r="CH38" s="100"/>
      <c r="CI38" s="100"/>
      <c r="CJ38" s="100"/>
      <c r="CK38" s="100"/>
      <c r="CL38" s="100"/>
      <c r="CM38" s="100"/>
      <c r="CN38" s="100"/>
      <c r="CO38" s="100"/>
      <c r="CP38" s="100"/>
      <c r="CQ38" s="100"/>
      <c r="CR38" s="100"/>
      <c r="CS38" s="100"/>
      <c r="CT38" s="100"/>
      <c r="CU38" s="100"/>
      <c r="CV38" s="100"/>
      <c r="CW38" s="100"/>
      <c r="CX38" s="100"/>
      <c r="CY38" s="100"/>
      <c r="CZ38" s="100"/>
      <c r="DA38" s="100"/>
      <c r="DB38" s="100"/>
    </row>
    <row r="39" spans="2:106" ht="11.1" customHeight="1" x14ac:dyDescent="0.3">
      <c r="B39" s="157"/>
      <c r="C39" s="87" t="s">
        <v>60</v>
      </c>
      <c r="D39" s="91" t="s">
        <v>138</v>
      </c>
      <c r="E39" s="96" t="s">
        <v>15</v>
      </c>
      <c r="F39" s="101"/>
      <c r="G39" s="100"/>
      <c r="H39" s="100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00"/>
      <c r="AC39" s="100"/>
      <c r="AD39" s="100"/>
      <c r="AE39" s="100"/>
      <c r="AF39" s="100"/>
      <c r="AG39" s="100"/>
      <c r="AH39" s="100"/>
      <c r="AI39" s="100"/>
      <c r="AJ39" s="100"/>
      <c r="AK39" s="100"/>
      <c r="AL39" s="100"/>
      <c r="AM39" s="100"/>
      <c r="AN39" s="100"/>
      <c r="AO39" s="100"/>
      <c r="AP39" s="100"/>
      <c r="AQ39" s="100"/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100"/>
      <c r="BM39" s="100"/>
      <c r="BN39" s="100"/>
      <c r="BO39" s="100"/>
      <c r="BP39" s="100"/>
      <c r="BQ39" s="100"/>
      <c r="BR39" s="100"/>
      <c r="BS39" s="100"/>
      <c r="BT39" s="100"/>
      <c r="BU39" s="100"/>
      <c r="BV39" s="100"/>
      <c r="BW39" s="100"/>
      <c r="BX39" s="100"/>
      <c r="BY39" s="100"/>
      <c r="BZ39" s="100"/>
      <c r="CA39" s="100"/>
      <c r="CB39" s="100"/>
      <c r="CC39" s="100"/>
      <c r="CD39" s="100"/>
      <c r="CE39" s="100"/>
      <c r="CF39" s="100"/>
      <c r="CG39" s="100"/>
      <c r="CH39" s="100"/>
      <c r="CI39" s="100"/>
      <c r="CJ39" s="100"/>
      <c r="CK39" s="100"/>
      <c r="CL39" s="100"/>
      <c r="CM39" s="100"/>
      <c r="CN39" s="100"/>
      <c r="CO39" s="100"/>
      <c r="CP39" s="100"/>
      <c r="CQ39" s="100"/>
      <c r="CR39" s="100"/>
      <c r="CS39" s="100"/>
      <c r="CT39" s="100"/>
      <c r="CU39" s="100"/>
      <c r="CV39" s="100"/>
      <c r="CW39" s="100"/>
      <c r="CX39" s="100"/>
      <c r="CY39" s="100"/>
      <c r="CZ39" s="100"/>
      <c r="DA39" s="100"/>
      <c r="DB39" s="100"/>
    </row>
    <row r="40" spans="2:106" ht="11.1" customHeight="1" x14ac:dyDescent="0.3">
      <c r="B40" s="157"/>
      <c r="C40" s="87" t="s">
        <v>61</v>
      </c>
      <c r="D40" s="91" t="s">
        <v>139</v>
      </c>
      <c r="E40" s="96" t="s">
        <v>15</v>
      </c>
      <c r="F40" s="101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  <c r="AA40" s="100"/>
      <c r="AB40" s="100"/>
      <c r="AC40" s="100"/>
      <c r="AD40" s="100"/>
      <c r="AE40" s="100"/>
      <c r="AF40" s="100"/>
      <c r="AG40" s="100"/>
      <c r="AH40" s="100"/>
      <c r="AI40" s="100"/>
      <c r="AJ40" s="100"/>
      <c r="AK40" s="100"/>
      <c r="AL40" s="100"/>
      <c r="AM40" s="100"/>
      <c r="AN40" s="100"/>
      <c r="AO40" s="100"/>
      <c r="AP40" s="100"/>
      <c r="AQ40" s="100"/>
      <c r="AR40" s="100"/>
      <c r="AS40" s="100"/>
      <c r="AT40" s="100"/>
      <c r="AU40" s="100"/>
      <c r="AV40" s="100"/>
      <c r="AW40" s="100"/>
      <c r="AX40" s="100"/>
      <c r="AY40" s="100"/>
      <c r="AZ40" s="100"/>
      <c r="BA40" s="100"/>
      <c r="BB40" s="100"/>
      <c r="BC40" s="100"/>
      <c r="BD40" s="100"/>
      <c r="BE40" s="100"/>
      <c r="BF40" s="100"/>
      <c r="BG40" s="100"/>
      <c r="BH40" s="100"/>
      <c r="BI40" s="100"/>
      <c r="BJ40" s="100"/>
      <c r="BK40" s="100"/>
      <c r="BL40" s="100"/>
      <c r="BM40" s="100"/>
      <c r="BN40" s="100"/>
      <c r="BO40" s="100"/>
      <c r="BP40" s="100"/>
      <c r="BQ40" s="100"/>
      <c r="BR40" s="100"/>
      <c r="BS40" s="100"/>
      <c r="BT40" s="100"/>
      <c r="BU40" s="100"/>
      <c r="BV40" s="100"/>
      <c r="BW40" s="100"/>
      <c r="BX40" s="100"/>
      <c r="BY40" s="100"/>
      <c r="BZ40" s="100"/>
      <c r="CA40" s="100"/>
      <c r="CB40" s="100"/>
      <c r="CC40" s="100"/>
      <c r="CD40" s="100"/>
      <c r="CE40" s="100"/>
      <c r="CF40" s="100"/>
      <c r="CG40" s="100"/>
      <c r="CH40" s="100"/>
      <c r="CI40" s="100"/>
      <c r="CJ40" s="100"/>
      <c r="CK40" s="100"/>
      <c r="CL40" s="100"/>
      <c r="CM40" s="100"/>
      <c r="CN40" s="100"/>
      <c r="CO40" s="100"/>
      <c r="CP40" s="100"/>
      <c r="CQ40" s="100"/>
      <c r="CR40" s="100"/>
      <c r="CS40" s="100"/>
      <c r="CT40" s="100"/>
      <c r="CU40" s="100"/>
      <c r="CV40" s="100"/>
      <c r="CW40" s="100"/>
      <c r="CX40" s="100"/>
      <c r="CY40" s="100"/>
      <c r="CZ40" s="100"/>
      <c r="DA40" s="100"/>
      <c r="DB40" s="100"/>
    </row>
    <row r="41" spans="2:106" ht="11.1" customHeight="1" x14ac:dyDescent="0.3">
      <c r="B41" s="157"/>
      <c r="C41" s="87" t="s">
        <v>62</v>
      </c>
      <c r="D41" s="91" t="s">
        <v>140</v>
      </c>
      <c r="E41" s="96" t="s">
        <v>15</v>
      </c>
      <c r="F41" s="101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00"/>
      <c r="AC41" s="100"/>
      <c r="AD41" s="100"/>
      <c r="AE41" s="100"/>
      <c r="AF41" s="100"/>
      <c r="AG41" s="100"/>
      <c r="AH41" s="100"/>
      <c r="AI41" s="100"/>
      <c r="AJ41" s="100"/>
      <c r="AK41" s="100"/>
      <c r="AL41" s="100"/>
      <c r="AM41" s="100"/>
      <c r="AN41" s="100"/>
      <c r="AO41" s="100"/>
      <c r="AP41" s="100"/>
      <c r="AQ41" s="100"/>
      <c r="AR41" s="100"/>
      <c r="AS41" s="100"/>
      <c r="AT41" s="100"/>
      <c r="AU41" s="100"/>
      <c r="AV41" s="100"/>
      <c r="AW41" s="100"/>
      <c r="AX41" s="100"/>
      <c r="AY41" s="100"/>
      <c r="AZ41" s="100"/>
      <c r="BA41" s="100"/>
      <c r="BB41" s="100"/>
      <c r="BC41" s="100"/>
      <c r="BD41" s="100"/>
      <c r="BE41" s="100"/>
      <c r="BF41" s="100"/>
      <c r="BG41" s="100"/>
      <c r="BH41" s="100"/>
      <c r="BI41" s="100"/>
      <c r="BJ41" s="100"/>
      <c r="BK41" s="100"/>
      <c r="BL41" s="100"/>
      <c r="BM41" s="100"/>
      <c r="BN41" s="100"/>
      <c r="BO41" s="100"/>
      <c r="BP41" s="100"/>
      <c r="BQ41" s="100"/>
      <c r="BR41" s="100"/>
      <c r="BS41" s="100"/>
      <c r="BT41" s="100"/>
      <c r="BU41" s="100"/>
      <c r="BV41" s="100"/>
      <c r="BW41" s="100"/>
      <c r="BX41" s="100"/>
      <c r="BY41" s="100"/>
      <c r="BZ41" s="100"/>
      <c r="CA41" s="100"/>
      <c r="CB41" s="100"/>
      <c r="CC41" s="100"/>
      <c r="CD41" s="100"/>
      <c r="CE41" s="100"/>
      <c r="CF41" s="100"/>
      <c r="CG41" s="100"/>
      <c r="CH41" s="100"/>
      <c r="CI41" s="100"/>
      <c r="CJ41" s="100"/>
      <c r="CK41" s="100"/>
      <c r="CL41" s="100"/>
      <c r="CM41" s="100"/>
      <c r="CN41" s="100"/>
      <c r="CO41" s="100"/>
      <c r="CP41" s="100"/>
      <c r="CQ41" s="100"/>
      <c r="CR41" s="100"/>
      <c r="CS41" s="100"/>
      <c r="CT41" s="100"/>
      <c r="CU41" s="100"/>
      <c r="CV41" s="100"/>
      <c r="CW41" s="100"/>
      <c r="CX41" s="100"/>
      <c r="CY41" s="100"/>
      <c r="CZ41" s="100"/>
      <c r="DA41" s="100"/>
      <c r="DB41" s="100"/>
    </row>
    <row r="42" spans="2:106" ht="11.1" customHeight="1" x14ac:dyDescent="0.3">
      <c r="B42" s="157"/>
      <c r="C42" s="87" t="s">
        <v>63</v>
      </c>
      <c r="D42" s="91" t="s">
        <v>141</v>
      </c>
      <c r="E42" s="96" t="s">
        <v>15</v>
      </c>
      <c r="F42" s="101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  <c r="AA42" s="100"/>
      <c r="AB42" s="100"/>
      <c r="AC42" s="100"/>
      <c r="AD42" s="100"/>
      <c r="AE42" s="100"/>
      <c r="AF42" s="100"/>
      <c r="AG42" s="100"/>
      <c r="AH42" s="100"/>
      <c r="AI42" s="100"/>
      <c r="AJ42" s="100"/>
      <c r="AK42" s="100"/>
      <c r="AL42" s="100"/>
      <c r="AM42" s="100"/>
      <c r="AN42" s="100"/>
      <c r="AO42" s="100"/>
      <c r="AP42" s="100"/>
      <c r="AQ42" s="100"/>
      <c r="AR42" s="100"/>
      <c r="AS42" s="100"/>
      <c r="AT42" s="100"/>
      <c r="AU42" s="100"/>
      <c r="AV42" s="100"/>
      <c r="AW42" s="100"/>
      <c r="AX42" s="100"/>
      <c r="AY42" s="100"/>
      <c r="AZ42" s="100"/>
      <c r="BA42" s="100"/>
      <c r="BB42" s="100"/>
      <c r="BC42" s="100"/>
      <c r="BD42" s="100"/>
      <c r="BE42" s="100"/>
      <c r="BF42" s="100"/>
      <c r="BG42" s="100"/>
      <c r="BH42" s="100"/>
      <c r="BI42" s="100"/>
      <c r="BJ42" s="100"/>
      <c r="BK42" s="100"/>
      <c r="BL42" s="100"/>
      <c r="BM42" s="100"/>
      <c r="BN42" s="100"/>
      <c r="BO42" s="100"/>
      <c r="BP42" s="100"/>
      <c r="BQ42" s="100"/>
      <c r="BR42" s="100"/>
      <c r="BS42" s="100"/>
      <c r="BT42" s="100"/>
      <c r="BU42" s="100"/>
      <c r="BV42" s="100"/>
      <c r="BW42" s="100"/>
      <c r="BX42" s="100"/>
      <c r="BY42" s="100"/>
      <c r="BZ42" s="100"/>
      <c r="CA42" s="100"/>
      <c r="CB42" s="100"/>
      <c r="CC42" s="100"/>
      <c r="CD42" s="100"/>
      <c r="CE42" s="100"/>
      <c r="CF42" s="100"/>
      <c r="CG42" s="100"/>
      <c r="CH42" s="100"/>
      <c r="CI42" s="100"/>
      <c r="CJ42" s="100"/>
      <c r="CK42" s="100"/>
      <c r="CL42" s="100"/>
      <c r="CM42" s="100"/>
      <c r="CN42" s="100"/>
      <c r="CO42" s="100"/>
      <c r="CP42" s="100"/>
      <c r="CQ42" s="100"/>
      <c r="CR42" s="100"/>
      <c r="CS42" s="100"/>
      <c r="CT42" s="100"/>
      <c r="CU42" s="100"/>
      <c r="CV42" s="100"/>
      <c r="CW42" s="100"/>
      <c r="CX42" s="100"/>
      <c r="CY42" s="100"/>
      <c r="CZ42" s="100"/>
      <c r="DA42" s="100"/>
      <c r="DB42" s="100"/>
    </row>
    <row r="43" spans="2:106" ht="11.1" customHeight="1" x14ac:dyDescent="0.3">
      <c r="B43" s="157"/>
      <c r="C43" s="87" t="s">
        <v>64</v>
      </c>
      <c r="D43" s="91" t="s">
        <v>142</v>
      </c>
      <c r="E43" s="96" t="s">
        <v>15</v>
      </c>
      <c r="F43" s="101"/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  <c r="AA43" s="100"/>
      <c r="AB43" s="100"/>
      <c r="AC43" s="100"/>
      <c r="AD43" s="100"/>
      <c r="AE43" s="100"/>
      <c r="AF43" s="100"/>
      <c r="AG43" s="100"/>
      <c r="AH43" s="100"/>
      <c r="AI43" s="100"/>
      <c r="AJ43" s="100"/>
      <c r="AK43" s="100"/>
      <c r="AL43" s="100"/>
      <c r="AM43" s="100"/>
      <c r="AN43" s="100"/>
      <c r="AO43" s="100"/>
      <c r="AP43" s="100"/>
      <c r="AQ43" s="100"/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100"/>
      <c r="BM43" s="100"/>
      <c r="BN43" s="100"/>
      <c r="BO43" s="100"/>
      <c r="BP43" s="100"/>
      <c r="BQ43" s="100"/>
      <c r="BR43" s="100"/>
      <c r="BS43" s="100"/>
      <c r="BT43" s="100"/>
      <c r="BU43" s="100"/>
      <c r="BV43" s="100"/>
      <c r="BW43" s="100"/>
      <c r="BX43" s="100"/>
      <c r="BY43" s="100"/>
      <c r="BZ43" s="100"/>
      <c r="CA43" s="100"/>
      <c r="CB43" s="100"/>
      <c r="CC43" s="100"/>
      <c r="CD43" s="100"/>
      <c r="CE43" s="100"/>
      <c r="CF43" s="100"/>
      <c r="CG43" s="100"/>
      <c r="CH43" s="100"/>
      <c r="CI43" s="100"/>
      <c r="CJ43" s="100"/>
      <c r="CK43" s="100"/>
      <c r="CL43" s="100"/>
      <c r="CM43" s="100"/>
      <c r="CN43" s="100"/>
      <c r="CO43" s="100"/>
      <c r="CP43" s="100"/>
      <c r="CQ43" s="100"/>
      <c r="CR43" s="100"/>
      <c r="CS43" s="100"/>
      <c r="CT43" s="100"/>
      <c r="CU43" s="100"/>
      <c r="CV43" s="100"/>
      <c r="CW43" s="100"/>
      <c r="CX43" s="100"/>
      <c r="CY43" s="100"/>
      <c r="CZ43" s="100"/>
      <c r="DA43" s="100"/>
      <c r="DB43" s="100"/>
    </row>
    <row r="44" spans="2:106" ht="11.1" customHeight="1" x14ac:dyDescent="0.3">
      <c r="B44" s="157"/>
      <c r="C44" s="87" t="s">
        <v>65</v>
      </c>
      <c r="D44" s="91" t="s">
        <v>144</v>
      </c>
      <c r="E44" s="96" t="s">
        <v>15</v>
      </c>
      <c r="F44" s="101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  <c r="AA44" s="100"/>
      <c r="AB44" s="100"/>
      <c r="AC44" s="100"/>
      <c r="AD44" s="100"/>
      <c r="AE44" s="100"/>
      <c r="AF44" s="100"/>
      <c r="AG44" s="100"/>
      <c r="AH44" s="100"/>
      <c r="AI44" s="100"/>
      <c r="AJ44" s="100"/>
      <c r="AK44" s="100"/>
      <c r="AL44" s="100"/>
      <c r="AM44" s="100"/>
      <c r="AN44" s="100"/>
      <c r="AO44" s="100"/>
      <c r="AP44" s="100"/>
      <c r="AQ44" s="100"/>
      <c r="AR44" s="100"/>
      <c r="AS44" s="100"/>
      <c r="AT44" s="100"/>
      <c r="AU44" s="100"/>
      <c r="AV44" s="100"/>
      <c r="AW44" s="100"/>
      <c r="AX44" s="100"/>
      <c r="AY44" s="100"/>
      <c r="AZ44" s="100"/>
      <c r="BA44" s="100"/>
      <c r="BB44" s="100"/>
      <c r="BC44" s="100"/>
      <c r="BD44" s="100"/>
      <c r="BE44" s="100"/>
      <c r="BF44" s="100"/>
      <c r="BG44" s="100"/>
      <c r="BH44" s="100"/>
      <c r="BI44" s="100"/>
      <c r="BJ44" s="100"/>
      <c r="BK44" s="100"/>
      <c r="BL44" s="100"/>
      <c r="BM44" s="100"/>
      <c r="BN44" s="100"/>
      <c r="BO44" s="100"/>
      <c r="BP44" s="100"/>
      <c r="BQ44" s="100"/>
      <c r="BR44" s="100"/>
      <c r="BS44" s="100"/>
      <c r="BT44" s="100"/>
      <c r="BU44" s="100"/>
      <c r="BV44" s="100"/>
      <c r="BW44" s="100"/>
      <c r="BX44" s="100"/>
      <c r="BY44" s="100"/>
      <c r="BZ44" s="100"/>
      <c r="CA44" s="100"/>
      <c r="CB44" s="100"/>
      <c r="CC44" s="100"/>
      <c r="CD44" s="100"/>
      <c r="CE44" s="100"/>
      <c r="CF44" s="100"/>
      <c r="CG44" s="100"/>
      <c r="CH44" s="100"/>
      <c r="CI44" s="100"/>
      <c r="CJ44" s="100"/>
      <c r="CK44" s="100"/>
      <c r="CL44" s="100"/>
      <c r="CM44" s="100"/>
      <c r="CN44" s="100"/>
      <c r="CO44" s="100"/>
      <c r="CP44" s="100"/>
      <c r="CQ44" s="100"/>
      <c r="CR44" s="100"/>
      <c r="CS44" s="100"/>
      <c r="CT44" s="100"/>
      <c r="CU44" s="100"/>
      <c r="CV44" s="100"/>
      <c r="CW44" s="100"/>
      <c r="CX44" s="100"/>
      <c r="CY44" s="100"/>
      <c r="CZ44" s="100"/>
      <c r="DA44" s="100"/>
      <c r="DB44" s="100"/>
    </row>
    <row r="45" spans="2:106" ht="11.1" customHeight="1" x14ac:dyDescent="0.3">
      <c r="B45" s="157"/>
      <c r="C45" s="87" t="s">
        <v>66</v>
      </c>
      <c r="D45" s="91" t="s">
        <v>145</v>
      </c>
      <c r="E45" s="96" t="s">
        <v>15</v>
      </c>
      <c r="F45" s="101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  <c r="CD45" s="100"/>
      <c r="CE45" s="100"/>
      <c r="CF45" s="100"/>
      <c r="CG45" s="100"/>
      <c r="CH45" s="100"/>
      <c r="CI45" s="100"/>
      <c r="CJ45" s="100"/>
      <c r="CK45" s="100"/>
      <c r="CL45" s="100"/>
      <c r="CM45" s="100"/>
      <c r="CN45" s="100"/>
      <c r="CO45" s="100"/>
      <c r="CP45" s="100"/>
      <c r="CQ45" s="100"/>
      <c r="CR45" s="100"/>
      <c r="CS45" s="100"/>
      <c r="CT45" s="100"/>
      <c r="CU45" s="100"/>
      <c r="CV45" s="100"/>
      <c r="CW45" s="100"/>
      <c r="CX45" s="100"/>
      <c r="CY45" s="100"/>
      <c r="CZ45" s="100"/>
      <c r="DA45" s="100"/>
      <c r="DB45" s="100"/>
    </row>
    <row r="46" spans="2:106" ht="11.1" customHeight="1" x14ac:dyDescent="0.3">
      <c r="B46" s="157"/>
      <c r="C46" s="87" t="s">
        <v>67</v>
      </c>
      <c r="D46" s="91" t="s">
        <v>146</v>
      </c>
      <c r="E46" s="96" t="s">
        <v>15</v>
      </c>
      <c r="F46" s="101"/>
      <c r="G46" s="100"/>
      <c r="H46" s="100"/>
      <c r="I46" s="100"/>
      <c r="J46" s="100"/>
      <c r="K46" s="100"/>
      <c r="L46" s="100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00"/>
      <c r="Y46" s="100"/>
      <c r="Z46" s="100"/>
      <c r="AA46" s="100"/>
      <c r="AB46" s="100"/>
      <c r="AC46" s="100"/>
      <c r="AD46" s="100"/>
      <c r="AE46" s="100"/>
      <c r="AF46" s="100"/>
      <c r="AG46" s="100"/>
      <c r="AH46" s="100"/>
      <c r="AI46" s="100"/>
      <c r="AJ46" s="100"/>
      <c r="AK46" s="100"/>
      <c r="AL46" s="100"/>
      <c r="AM46" s="100"/>
      <c r="AN46" s="100"/>
      <c r="AO46" s="100"/>
      <c r="AP46" s="100"/>
      <c r="AQ46" s="100"/>
      <c r="AR46" s="100"/>
      <c r="AS46" s="100"/>
      <c r="AT46" s="100"/>
      <c r="AU46" s="100"/>
      <c r="AV46" s="100"/>
      <c r="AW46" s="100"/>
      <c r="AX46" s="100"/>
      <c r="AY46" s="100"/>
      <c r="AZ46" s="100"/>
      <c r="BA46" s="100"/>
      <c r="BB46" s="100"/>
      <c r="BC46" s="100"/>
      <c r="BD46" s="100"/>
      <c r="BE46" s="100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  <c r="CD46" s="100"/>
      <c r="CE46" s="100"/>
      <c r="CF46" s="100"/>
      <c r="CG46" s="100"/>
      <c r="CH46" s="100"/>
      <c r="CI46" s="100"/>
      <c r="CJ46" s="100"/>
      <c r="CK46" s="100"/>
      <c r="CL46" s="100"/>
      <c r="CM46" s="100"/>
      <c r="CN46" s="100"/>
      <c r="CO46" s="100"/>
      <c r="CP46" s="100"/>
      <c r="CQ46" s="100"/>
      <c r="CR46" s="100"/>
      <c r="CS46" s="100"/>
      <c r="CT46" s="100"/>
      <c r="CU46" s="100"/>
      <c r="CV46" s="100"/>
      <c r="CW46" s="100"/>
      <c r="CX46" s="100"/>
      <c r="CY46" s="100"/>
      <c r="CZ46" s="100"/>
      <c r="DA46" s="100"/>
      <c r="DB46" s="100"/>
    </row>
    <row r="47" spans="2:106" ht="11.1" customHeight="1" x14ac:dyDescent="0.3">
      <c r="B47" s="157"/>
      <c r="C47" s="87" t="s">
        <v>68</v>
      </c>
      <c r="D47" s="91" t="s">
        <v>147</v>
      </c>
      <c r="E47" s="96" t="s">
        <v>15</v>
      </c>
      <c r="F47" s="101"/>
      <c r="G47" s="100"/>
      <c r="H47" s="100"/>
      <c r="I47" s="100"/>
      <c r="J47" s="100"/>
      <c r="K47" s="100"/>
      <c r="L47" s="100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00"/>
      <c r="Y47" s="100"/>
      <c r="Z47" s="100"/>
      <c r="AA47" s="100"/>
      <c r="AB47" s="100"/>
      <c r="AC47" s="100"/>
      <c r="AD47" s="100"/>
      <c r="AE47" s="100"/>
      <c r="AF47" s="100"/>
      <c r="AG47" s="100"/>
      <c r="AH47" s="100"/>
      <c r="AI47" s="100"/>
      <c r="AJ47" s="100"/>
      <c r="AK47" s="100"/>
      <c r="AL47" s="100"/>
      <c r="AM47" s="100"/>
      <c r="AN47" s="100"/>
      <c r="AO47" s="100"/>
      <c r="AP47" s="100"/>
      <c r="AQ47" s="100"/>
      <c r="AR47" s="100"/>
      <c r="AS47" s="100"/>
      <c r="AT47" s="100"/>
      <c r="AU47" s="100"/>
      <c r="AV47" s="100"/>
      <c r="AW47" s="100"/>
      <c r="AX47" s="100"/>
      <c r="AY47" s="100"/>
      <c r="AZ47" s="100"/>
      <c r="BA47" s="100"/>
      <c r="BB47" s="100"/>
      <c r="BC47" s="100"/>
      <c r="BD47" s="100"/>
      <c r="BE47" s="100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  <c r="CD47" s="100"/>
      <c r="CE47" s="100"/>
      <c r="CF47" s="100"/>
      <c r="CG47" s="100"/>
      <c r="CH47" s="100"/>
      <c r="CI47" s="100"/>
      <c r="CJ47" s="100"/>
      <c r="CK47" s="100"/>
      <c r="CL47" s="100"/>
      <c r="CM47" s="100"/>
      <c r="CN47" s="100"/>
      <c r="CO47" s="100"/>
      <c r="CP47" s="100"/>
      <c r="CQ47" s="100"/>
      <c r="CR47" s="100"/>
      <c r="CS47" s="100"/>
      <c r="CT47" s="100"/>
      <c r="CU47" s="100"/>
      <c r="CV47" s="100"/>
      <c r="CW47" s="100"/>
      <c r="CX47" s="100"/>
      <c r="CY47" s="100"/>
      <c r="CZ47" s="100"/>
      <c r="DA47" s="100"/>
      <c r="DB47" s="100"/>
    </row>
    <row r="48" spans="2:106" ht="11.1" customHeight="1" x14ac:dyDescent="0.3">
      <c r="B48" s="157"/>
      <c r="C48" s="87" t="s">
        <v>69</v>
      </c>
      <c r="D48" s="91" t="s">
        <v>148</v>
      </c>
      <c r="E48" s="96" t="s">
        <v>15</v>
      </c>
      <c r="F48" s="101"/>
      <c r="G48" s="100"/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00"/>
      <c r="AJ48" s="100"/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00"/>
      <c r="CP48" s="100"/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</row>
    <row r="49" spans="2:106" ht="11.1" customHeight="1" x14ac:dyDescent="0.3">
      <c r="B49" s="157"/>
      <c r="C49" s="87" t="s">
        <v>70</v>
      </c>
      <c r="D49" s="91" t="s">
        <v>149</v>
      </c>
      <c r="E49" s="96" t="s">
        <v>15</v>
      </c>
      <c r="F49" s="101"/>
      <c r="G49" s="100"/>
      <c r="H49" s="100"/>
      <c r="I49" s="100"/>
      <c r="J49" s="100"/>
      <c r="K49" s="100"/>
      <c r="L49" s="100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00"/>
      <c r="Y49" s="100"/>
      <c r="Z49" s="100"/>
      <c r="AA49" s="100"/>
      <c r="AB49" s="100"/>
      <c r="AC49" s="100"/>
      <c r="AD49" s="100"/>
      <c r="AE49" s="100"/>
      <c r="AF49" s="100"/>
      <c r="AG49" s="100"/>
      <c r="AH49" s="100"/>
      <c r="AI49" s="100"/>
      <c r="AJ49" s="100"/>
      <c r="AK49" s="100"/>
      <c r="AL49" s="100"/>
      <c r="AM49" s="100"/>
      <c r="AN49" s="100"/>
      <c r="AO49" s="100"/>
      <c r="AP49" s="100"/>
      <c r="AQ49" s="100"/>
      <c r="AR49" s="100"/>
      <c r="AS49" s="100"/>
      <c r="AT49" s="100"/>
      <c r="AU49" s="100"/>
      <c r="AV49" s="100"/>
      <c r="AW49" s="100"/>
      <c r="AX49" s="100"/>
      <c r="AY49" s="100"/>
      <c r="AZ49" s="100"/>
      <c r="BA49" s="100"/>
      <c r="BB49" s="100"/>
      <c r="BC49" s="100"/>
      <c r="BD49" s="100"/>
      <c r="BE49" s="100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  <c r="CD49" s="100"/>
      <c r="CE49" s="100"/>
      <c r="CF49" s="100"/>
      <c r="CG49" s="100"/>
      <c r="CH49" s="100"/>
      <c r="CI49" s="100"/>
      <c r="CJ49" s="100"/>
      <c r="CK49" s="100"/>
      <c r="CL49" s="100"/>
      <c r="CM49" s="100"/>
      <c r="CN49" s="100"/>
      <c r="CO49" s="100"/>
      <c r="CP49" s="100"/>
      <c r="CQ49" s="100"/>
      <c r="CR49" s="100"/>
      <c r="CS49" s="100"/>
      <c r="CT49" s="100"/>
      <c r="CU49" s="100"/>
      <c r="CV49" s="100"/>
      <c r="CW49" s="100"/>
      <c r="CX49" s="100"/>
      <c r="CY49" s="100"/>
      <c r="CZ49" s="100"/>
      <c r="DA49" s="100"/>
      <c r="DB49" s="100"/>
    </row>
    <row r="50" spans="2:106" ht="11.1" customHeight="1" x14ac:dyDescent="0.3">
      <c r="B50" s="157"/>
      <c r="C50" s="87" t="s">
        <v>71</v>
      </c>
      <c r="D50" s="91" t="s">
        <v>151</v>
      </c>
      <c r="E50" s="96" t="s">
        <v>15</v>
      </c>
      <c r="F50" s="101"/>
      <c r="G50" s="100"/>
      <c r="H50" s="100"/>
      <c r="I50" s="100"/>
      <c r="J50" s="100"/>
      <c r="K50" s="100"/>
      <c r="L50" s="100"/>
      <c r="M50" s="100"/>
      <c r="N50" s="100"/>
      <c r="O50" s="100"/>
      <c r="P50" s="100"/>
      <c r="Q50" s="100"/>
      <c r="R50" s="100"/>
      <c r="S50" s="100"/>
      <c r="T50" s="100"/>
      <c r="U50" s="100"/>
      <c r="V50" s="100"/>
      <c r="W50" s="100"/>
      <c r="X50" s="100"/>
      <c r="Y50" s="100"/>
      <c r="Z50" s="100"/>
      <c r="AA50" s="100"/>
      <c r="AB50" s="100"/>
      <c r="AC50" s="100"/>
      <c r="AD50" s="100"/>
      <c r="AE50" s="100"/>
      <c r="AF50" s="100"/>
      <c r="AG50" s="100"/>
      <c r="AH50" s="100"/>
      <c r="AI50" s="100"/>
      <c r="AJ50" s="100"/>
      <c r="AK50" s="100"/>
      <c r="AL50" s="100"/>
      <c r="AM50" s="100"/>
      <c r="AN50" s="100"/>
      <c r="AO50" s="100"/>
      <c r="AP50" s="100"/>
      <c r="AQ50" s="100"/>
      <c r="AR50" s="100"/>
      <c r="AS50" s="100"/>
      <c r="AT50" s="100"/>
      <c r="AU50" s="100"/>
      <c r="AV50" s="100"/>
      <c r="AW50" s="100"/>
      <c r="AX50" s="100"/>
      <c r="AY50" s="100"/>
      <c r="AZ50" s="100"/>
      <c r="BA50" s="100"/>
      <c r="BB50" s="100"/>
      <c r="BC50" s="100"/>
      <c r="BD50" s="100"/>
      <c r="BE50" s="100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  <c r="CD50" s="100"/>
      <c r="CE50" s="100"/>
      <c r="CF50" s="100"/>
      <c r="CG50" s="100"/>
      <c r="CH50" s="100"/>
      <c r="CI50" s="100"/>
      <c r="CJ50" s="100"/>
      <c r="CK50" s="100"/>
      <c r="CL50" s="100"/>
      <c r="CM50" s="100"/>
      <c r="CN50" s="100"/>
      <c r="CO50" s="100"/>
      <c r="CP50" s="100"/>
      <c r="CQ50" s="100"/>
      <c r="CR50" s="100"/>
      <c r="CS50" s="100"/>
      <c r="CT50" s="100"/>
      <c r="CU50" s="100"/>
      <c r="CV50" s="100"/>
      <c r="CW50" s="100"/>
      <c r="CX50" s="100"/>
      <c r="CY50" s="100"/>
      <c r="CZ50" s="100"/>
      <c r="DA50" s="100"/>
      <c r="DB50" s="100"/>
    </row>
    <row r="51" spans="2:106" ht="11.1" customHeight="1" x14ac:dyDescent="0.3">
      <c r="B51" s="157"/>
      <c r="C51" s="87" t="s">
        <v>72</v>
      </c>
      <c r="D51" s="91" t="s">
        <v>152</v>
      </c>
      <c r="E51" s="96" t="s">
        <v>15</v>
      </c>
      <c r="F51" s="101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  <c r="AB51" s="100"/>
      <c r="AC51" s="100"/>
      <c r="AD51" s="100"/>
      <c r="AE51" s="100"/>
      <c r="AF51" s="100"/>
      <c r="AG51" s="100"/>
      <c r="AH51" s="100"/>
      <c r="AI51" s="100"/>
      <c r="AJ51" s="100"/>
      <c r="AK51" s="100"/>
      <c r="AL51" s="100"/>
      <c r="AM51" s="100"/>
      <c r="AN51" s="100"/>
      <c r="AO51" s="100"/>
      <c r="AP51" s="100"/>
      <c r="AQ51" s="100"/>
      <c r="AR51" s="100"/>
      <c r="AS51" s="100"/>
      <c r="AT51" s="100"/>
      <c r="AU51" s="100"/>
      <c r="AV51" s="100"/>
      <c r="AW51" s="100"/>
      <c r="AX51" s="100"/>
      <c r="AY51" s="100"/>
      <c r="AZ51" s="100"/>
      <c r="BA51" s="100"/>
      <c r="BB51" s="100"/>
      <c r="BC51" s="100"/>
      <c r="BD51" s="100"/>
      <c r="BE51" s="100"/>
      <c r="BF51" s="100"/>
      <c r="BG51" s="100"/>
      <c r="BH51" s="100"/>
      <c r="BI51" s="100"/>
      <c r="BJ51" s="100"/>
      <c r="BK51" s="100"/>
      <c r="BL51" s="100"/>
      <c r="BM51" s="100"/>
      <c r="BN51" s="100"/>
      <c r="BO51" s="100"/>
      <c r="BP51" s="100"/>
      <c r="BQ51" s="100"/>
      <c r="BR51" s="100"/>
      <c r="BS51" s="100"/>
      <c r="BT51" s="100"/>
      <c r="BU51" s="100"/>
      <c r="BV51" s="100"/>
      <c r="BW51" s="100"/>
      <c r="BX51" s="100"/>
      <c r="BY51" s="100"/>
      <c r="BZ51" s="100"/>
      <c r="CA51" s="100"/>
      <c r="CB51" s="100"/>
      <c r="CC51" s="100"/>
      <c r="CD51" s="100"/>
      <c r="CE51" s="100"/>
      <c r="CF51" s="100"/>
      <c r="CG51" s="100"/>
      <c r="CH51" s="100"/>
      <c r="CI51" s="100"/>
      <c r="CJ51" s="100"/>
      <c r="CK51" s="100"/>
      <c r="CL51" s="100"/>
      <c r="CM51" s="100"/>
      <c r="CN51" s="100"/>
      <c r="CO51" s="100"/>
      <c r="CP51" s="100"/>
      <c r="CQ51" s="100"/>
      <c r="CR51" s="100"/>
      <c r="CS51" s="100"/>
      <c r="CT51" s="100"/>
      <c r="CU51" s="100"/>
      <c r="CV51" s="100"/>
      <c r="CW51" s="100"/>
      <c r="CX51" s="100"/>
      <c r="CY51" s="100"/>
      <c r="CZ51" s="100"/>
      <c r="DA51" s="100"/>
      <c r="DB51" s="100"/>
    </row>
    <row r="52" spans="2:106" ht="11.1" customHeight="1" x14ac:dyDescent="0.3">
      <c r="B52" s="157"/>
      <c r="C52" s="87" t="s">
        <v>73</v>
      </c>
      <c r="D52" s="91" t="s">
        <v>153</v>
      </c>
      <c r="E52" s="96" t="s">
        <v>16</v>
      </c>
      <c r="F52" s="101"/>
      <c r="G52" s="100"/>
      <c r="H52" s="100"/>
      <c r="I52" s="100"/>
      <c r="J52" s="100"/>
      <c r="K52" s="100"/>
      <c r="L52" s="100"/>
      <c r="M52" s="100"/>
      <c r="N52" s="100"/>
      <c r="O52" s="100"/>
      <c r="P52" s="100"/>
      <c r="Q52" s="100"/>
      <c r="R52" s="100"/>
      <c r="S52" s="100"/>
      <c r="T52" s="100"/>
      <c r="U52" s="100"/>
      <c r="V52" s="100"/>
      <c r="W52" s="100"/>
      <c r="X52" s="100"/>
      <c r="Y52" s="100"/>
      <c r="Z52" s="100"/>
      <c r="AA52" s="100"/>
      <c r="AB52" s="100"/>
      <c r="AC52" s="100"/>
      <c r="AD52" s="100"/>
      <c r="AE52" s="100"/>
      <c r="AF52" s="100"/>
      <c r="AG52" s="100"/>
      <c r="AH52" s="100"/>
      <c r="AI52" s="100"/>
      <c r="AJ52" s="100"/>
      <c r="AK52" s="100"/>
      <c r="AL52" s="100"/>
      <c r="AM52" s="100"/>
      <c r="AN52" s="100"/>
      <c r="AO52" s="100"/>
      <c r="AP52" s="100"/>
      <c r="AQ52" s="100"/>
      <c r="AR52" s="100"/>
      <c r="AS52" s="100"/>
      <c r="AT52" s="100"/>
      <c r="AU52" s="100"/>
      <c r="AV52" s="100"/>
      <c r="AW52" s="100"/>
      <c r="AX52" s="100"/>
      <c r="AY52" s="100"/>
      <c r="AZ52" s="100"/>
      <c r="BA52" s="100"/>
      <c r="BB52" s="100"/>
      <c r="BC52" s="100"/>
      <c r="BD52" s="100"/>
      <c r="BE52" s="100"/>
      <c r="BF52" s="100"/>
      <c r="BG52" s="100"/>
      <c r="BH52" s="100"/>
      <c r="BI52" s="100"/>
      <c r="BJ52" s="100"/>
      <c r="BK52" s="100"/>
      <c r="BL52" s="100"/>
      <c r="BM52" s="100"/>
      <c r="BN52" s="100"/>
      <c r="BO52" s="100"/>
      <c r="BP52" s="100"/>
      <c r="BQ52" s="100"/>
      <c r="BR52" s="100"/>
      <c r="BS52" s="100"/>
      <c r="BT52" s="100"/>
      <c r="BU52" s="100"/>
      <c r="BV52" s="100"/>
      <c r="BW52" s="100"/>
      <c r="BX52" s="100"/>
      <c r="BY52" s="100"/>
      <c r="BZ52" s="100"/>
      <c r="CA52" s="100"/>
      <c r="CB52" s="100"/>
      <c r="CC52" s="100"/>
      <c r="CD52" s="100"/>
      <c r="CE52" s="100"/>
      <c r="CF52" s="100"/>
      <c r="CG52" s="100"/>
      <c r="CH52" s="100"/>
      <c r="CI52" s="100"/>
      <c r="CJ52" s="100"/>
      <c r="CK52" s="100"/>
      <c r="CL52" s="100"/>
      <c r="CM52" s="100"/>
      <c r="CN52" s="100"/>
      <c r="CO52" s="100"/>
      <c r="CP52" s="100"/>
      <c r="CQ52" s="100"/>
      <c r="CR52" s="100"/>
      <c r="CS52" s="100"/>
      <c r="CT52" s="100"/>
      <c r="CU52" s="100"/>
      <c r="CV52" s="100"/>
      <c r="CW52" s="100"/>
      <c r="CX52" s="100"/>
      <c r="CY52" s="100"/>
      <c r="CZ52" s="100"/>
      <c r="DA52" s="100"/>
      <c r="DB52" s="100"/>
    </row>
    <row r="53" spans="2:106" ht="11.1" customHeight="1" x14ac:dyDescent="0.3">
      <c r="B53" s="157"/>
      <c r="C53" s="87" t="s">
        <v>74</v>
      </c>
      <c r="D53" s="91" t="s">
        <v>155</v>
      </c>
      <c r="E53" s="96" t="s">
        <v>15</v>
      </c>
      <c r="F53" s="101"/>
      <c r="G53" s="100"/>
      <c r="H53" s="100"/>
      <c r="I53" s="100"/>
      <c r="J53" s="100"/>
      <c r="K53" s="100"/>
      <c r="L53" s="100"/>
      <c r="M53" s="100"/>
      <c r="N53" s="100"/>
      <c r="O53" s="100"/>
      <c r="P53" s="100"/>
      <c r="Q53" s="100"/>
      <c r="R53" s="100"/>
      <c r="S53" s="100"/>
      <c r="T53" s="100"/>
      <c r="U53" s="100"/>
      <c r="V53" s="100"/>
      <c r="W53" s="100"/>
      <c r="X53" s="100"/>
      <c r="Y53" s="100"/>
      <c r="Z53" s="100"/>
      <c r="AA53" s="100"/>
      <c r="AB53" s="100"/>
      <c r="AC53" s="100"/>
      <c r="AD53" s="100"/>
      <c r="AE53" s="100"/>
      <c r="AF53" s="100"/>
      <c r="AG53" s="100"/>
      <c r="AH53" s="100"/>
      <c r="AI53" s="100"/>
      <c r="AJ53" s="100"/>
      <c r="AK53" s="100"/>
      <c r="AL53" s="100"/>
      <c r="AM53" s="100"/>
      <c r="AN53" s="100"/>
      <c r="AO53" s="100"/>
      <c r="AP53" s="100"/>
      <c r="AQ53" s="100"/>
      <c r="AR53" s="100"/>
      <c r="AS53" s="100"/>
      <c r="AT53" s="100"/>
      <c r="AU53" s="100"/>
      <c r="AV53" s="100"/>
      <c r="AW53" s="100"/>
      <c r="AX53" s="100"/>
      <c r="AY53" s="100"/>
      <c r="AZ53" s="100"/>
      <c r="BA53" s="100"/>
      <c r="BB53" s="100"/>
      <c r="BC53" s="100"/>
      <c r="BD53" s="100"/>
      <c r="BE53" s="100"/>
      <c r="BF53" s="100"/>
      <c r="BG53" s="100"/>
      <c r="BH53" s="100"/>
      <c r="BI53" s="100"/>
      <c r="BJ53" s="100"/>
      <c r="BK53" s="100"/>
      <c r="BL53" s="100"/>
      <c r="BM53" s="100"/>
      <c r="BN53" s="100"/>
      <c r="BO53" s="100"/>
      <c r="BP53" s="100"/>
      <c r="BQ53" s="100"/>
      <c r="BR53" s="100"/>
      <c r="BS53" s="100"/>
      <c r="BT53" s="100"/>
      <c r="BU53" s="100"/>
      <c r="BV53" s="100"/>
      <c r="BW53" s="100"/>
      <c r="BX53" s="100"/>
      <c r="BY53" s="100"/>
      <c r="BZ53" s="100"/>
      <c r="CA53" s="100"/>
      <c r="CB53" s="100"/>
      <c r="CC53" s="100"/>
      <c r="CD53" s="100"/>
      <c r="CE53" s="100"/>
      <c r="CF53" s="100"/>
      <c r="CG53" s="100"/>
      <c r="CH53" s="100"/>
      <c r="CI53" s="100"/>
      <c r="CJ53" s="100"/>
      <c r="CK53" s="100"/>
      <c r="CL53" s="100"/>
      <c r="CM53" s="100"/>
      <c r="CN53" s="100"/>
      <c r="CO53" s="100"/>
      <c r="CP53" s="100"/>
      <c r="CQ53" s="100"/>
      <c r="CR53" s="100"/>
      <c r="CS53" s="100"/>
      <c r="CT53" s="100"/>
      <c r="CU53" s="100"/>
      <c r="CV53" s="100"/>
      <c r="CW53" s="100"/>
      <c r="CX53" s="100"/>
      <c r="CY53" s="100"/>
      <c r="CZ53" s="100"/>
      <c r="DA53" s="100"/>
      <c r="DB53" s="100"/>
    </row>
    <row r="54" spans="2:106" ht="11.1" customHeight="1" x14ac:dyDescent="0.3">
      <c r="B54" s="157"/>
      <c r="C54" s="87" t="s">
        <v>75</v>
      </c>
      <c r="D54" s="91" t="s">
        <v>157</v>
      </c>
      <c r="E54" s="96" t="s">
        <v>15</v>
      </c>
      <c r="F54" s="101"/>
      <c r="G54" s="100"/>
      <c r="H54" s="100"/>
      <c r="I54" s="100"/>
      <c r="J54" s="100"/>
      <c r="K54" s="100"/>
      <c r="L54" s="100"/>
      <c r="M54" s="100"/>
      <c r="N54" s="100"/>
      <c r="O54" s="100"/>
      <c r="P54" s="100"/>
      <c r="Q54" s="100"/>
      <c r="R54" s="100"/>
      <c r="S54" s="100"/>
      <c r="T54" s="100"/>
      <c r="U54" s="100"/>
      <c r="V54" s="100"/>
      <c r="W54" s="100"/>
      <c r="X54" s="100"/>
      <c r="Y54" s="100"/>
      <c r="Z54" s="100"/>
      <c r="AA54" s="100"/>
      <c r="AB54" s="100"/>
      <c r="AC54" s="100"/>
      <c r="AD54" s="100"/>
      <c r="AE54" s="100"/>
      <c r="AF54" s="100"/>
      <c r="AG54" s="100"/>
      <c r="AH54" s="100"/>
      <c r="AI54" s="100"/>
      <c r="AJ54" s="100"/>
      <c r="AK54" s="100"/>
      <c r="AL54" s="100"/>
      <c r="AM54" s="100"/>
      <c r="AN54" s="100"/>
      <c r="AO54" s="100"/>
      <c r="AP54" s="100"/>
      <c r="AQ54" s="100"/>
      <c r="AR54" s="100"/>
      <c r="AS54" s="100"/>
      <c r="AT54" s="100"/>
      <c r="AU54" s="100"/>
      <c r="AV54" s="100"/>
      <c r="AW54" s="100"/>
      <c r="AX54" s="100"/>
      <c r="AY54" s="100"/>
      <c r="AZ54" s="100"/>
      <c r="BA54" s="100"/>
      <c r="BB54" s="100"/>
      <c r="BC54" s="100"/>
      <c r="BD54" s="100"/>
      <c r="BE54" s="100"/>
      <c r="BF54" s="100"/>
      <c r="BG54" s="100"/>
      <c r="BH54" s="100"/>
      <c r="BI54" s="100"/>
      <c r="BJ54" s="100"/>
      <c r="BK54" s="100"/>
      <c r="BL54" s="100"/>
      <c r="BM54" s="100"/>
      <c r="BN54" s="100"/>
      <c r="BO54" s="100"/>
      <c r="BP54" s="100"/>
      <c r="BQ54" s="100"/>
      <c r="BR54" s="100"/>
      <c r="BS54" s="100"/>
      <c r="BT54" s="100"/>
      <c r="BU54" s="100"/>
      <c r="BV54" s="100"/>
      <c r="BW54" s="100"/>
      <c r="BX54" s="100"/>
      <c r="BY54" s="100"/>
      <c r="BZ54" s="100"/>
      <c r="CA54" s="100"/>
      <c r="CB54" s="100"/>
      <c r="CC54" s="100"/>
      <c r="CD54" s="100"/>
      <c r="CE54" s="100"/>
      <c r="CF54" s="100"/>
      <c r="CG54" s="100"/>
      <c r="CH54" s="100"/>
      <c r="CI54" s="100"/>
      <c r="CJ54" s="100"/>
      <c r="CK54" s="100"/>
      <c r="CL54" s="100"/>
      <c r="CM54" s="100"/>
      <c r="CN54" s="100"/>
      <c r="CO54" s="100"/>
      <c r="CP54" s="100"/>
      <c r="CQ54" s="100"/>
      <c r="CR54" s="100"/>
      <c r="CS54" s="100"/>
      <c r="CT54" s="100"/>
      <c r="CU54" s="100"/>
      <c r="CV54" s="100"/>
      <c r="CW54" s="100"/>
      <c r="CX54" s="100"/>
      <c r="CY54" s="100"/>
      <c r="CZ54" s="100"/>
      <c r="DA54" s="100"/>
      <c r="DB54" s="100"/>
    </row>
    <row r="55" spans="2:106" ht="11.1" customHeight="1" x14ac:dyDescent="0.3">
      <c r="B55" s="157"/>
      <c r="C55" s="87" t="s">
        <v>76</v>
      </c>
      <c r="D55" s="91" t="s">
        <v>159</v>
      </c>
      <c r="E55" s="96" t="s">
        <v>16</v>
      </c>
      <c r="F55" s="101"/>
      <c r="G55" s="100"/>
      <c r="H55" s="100"/>
      <c r="I55" s="100"/>
      <c r="J55" s="100"/>
      <c r="K55" s="100"/>
      <c r="L55" s="100"/>
      <c r="M55" s="100"/>
      <c r="N55" s="100"/>
      <c r="O55" s="100"/>
      <c r="P55" s="100"/>
      <c r="Q55" s="100"/>
      <c r="R55" s="100"/>
      <c r="S55" s="100"/>
      <c r="T55" s="100"/>
      <c r="U55" s="100"/>
      <c r="V55" s="100"/>
      <c r="W55" s="100"/>
      <c r="X55" s="100"/>
      <c r="Y55" s="100"/>
      <c r="Z55" s="100"/>
      <c r="AA55" s="100"/>
      <c r="AB55" s="100"/>
      <c r="AC55" s="100"/>
      <c r="AD55" s="100"/>
      <c r="AE55" s="100"/>
      <c r="AF55" s="100"/>
      <c r="AG55" s="100"/>
      <c r="AH55" s="100"/>
      <c r="AI55" s="100"/>
      <c r="AJ55" s="100"/>
      <c r="AK55" s="100"/>
      <c r="AL55" s="100"/>
      <c r="AM55" s="100"/>
      <c r="AN55" s="100"/>
      <c r="AO55" s="100"/>
      <c r="AP55" s="100"/>
      <c r="AQ55" s="100"/>
      <c r="AR55" s="100"/>
      <c r="AS55" s="100"/>
      <c r="AT55" s="100"/>
      <c r="AU55" s="100"/>
      <c r="AV55" s="100"/>
      <c r="AW55" s="100"/>
      <c r="AX55" s="100"/>
      <c r="AY55" s="100"/>
      <c r="AZ55" s="100"/>
      <c r="BA55" s="100"/>
      <c r="BB55" s="100"/>
      <c r="BC55" s="100"/>
      <c r="BD55" s="100"/>
      <c r="BE55" s="100"/>
      <c r="BF55" s="100"/>
      <c r="BG55" s="100"/>
      <c r="BH55" s="100"/>
      <c r="BI55" s="100"/>
      <c r="BJ55" s="100"/>
      <c r="BK55" s="100"/>
      <c r="BL55" s="100"/>
      <c r="BM55" s="100"/>
      <c r="BN55" s="100"/>
      <c r="BO55" s="100"/>
      <c r="BP55" s="100"/>
      <c r="BQ55" s="100"/>
      <c r="BR55" s="100"/>
      <c r="BS55" s="100"/>
      <c r="BT55" s="100"/>
      <c r="BU55" s="100"/>
      <c r="BV55" s="100"/>
      <c r="BW55" s="100"/>
      <c r="BX55" s="100"/>
      <c r="BY55" s="100"/>
      <c r="BZ55" s="100"/>
      <c r="CA55" s="100"/>
      <c r="CB55" s="100"/>
      <c r="CC55" s="100"/>
      <c r="CD55" s="100"/>
      <c r="CE55" s="100"/>
      <c r="CF55" s="100"/>
      <c r="CG55" s="100"/>
      <c r="CH55" s="100"/>
      <c r="CI55" s="100"/>
      <c r="CJ55" s="100"/>
      <c r="CK55" s="100"/>
      <c r="CL55" s="100"/>
      <c r="CM55" s="100"/>
      <c r="CN55" s="100"/>
      <c r="CO55" s="100"/>
      <c r="CP55" s="100"/>
      <c r="CQ55" s="100"/>
      <c r="CR55" s="100"/>
      <c r="CS55" s="100"/>
      <c r="CT55" s="100"/>
      <c r="CU55" s="100"/>
      <c r="CV55" s="100"/>
      <c r="CW55" s="100"/>
      <c r="CX55" s="100"/>
      <c r="CY55" s="100"/>
      <c r="CZ55" s="100"/>
      <c r="DA55" s="100"/>
      <c r="DB55" s="100"/>
    </row>
    <row r="56" spans="2:106" ht="11.1" customHeight="1" x14ac:dyDescent="0.3">
      <c r="B56" s="157"/>
      <c r="C56" s="87" t="s">
        <v>77</v>
      </c>
      <c r="D56" s="91" t="s">
        <v>160</v>
      </c>
      <c r="E56" s="96" t="s">
        <v>16</v>
      </c>
      <c r="F56" s="101"/>
      <c r="G56" s="100"/>
      <c r="H56" s="100"/>
      <c r="I56" s="100"/>
      <c r="J56" s="100"/>
      <c r="K56" s="100"/>
      <c r="L56" s="100"/>
      <c r="M56" s="100"/>
      <c r="N56" s="100"/>
      <c r="O56" s="100"/>
      <c r="P56" s="100"/>
      <c r="Q56" s="100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0"/>
      <c r="AI56" s="100"/>
      <c r="AJ56" s="100"/>
      <c r="AK56" s="100"/>
      <c r="AL56" s="100"/>
      <c r="AM56" s="100"/>
      <c r="AN56" s="100"/>
      <c r="AO56" s="100"/>
      <c r="AP56" s="100"/>
      <c r="AQ56" s="100"/>
      <c r="AR56" s="100"/>
      <c r="AS56" s="100"/>
      <c r="AT56" s="100"/>
      <c r="AU56" s="100"/>
      <c r="AV56" s="100"/>
      <c r="AW56" s="100"/>
      <c r="AX56" s="100"/>
      <c r="AY56" s="100"/>
      <c r="AZ56" s="100"/>
      <c r="BA56" s="100"/>
      <c r="BB56" s="100"/>
      <c r="BC56" s="100"/>
      <c r="BD56" s="100"/>
      <c r="BE56" s="100"/>
      <c r="BF56" s="100"/>
      <c r="BG56" s="100"/>
      <c r="BH56" s="100"/>
      <c r="BI56" s="100"/>
      <c r="BJ56" s="100"/>
      <c r="BK56" s="100"/>
      <c r="BL56" s="100"/>
      <c r="BM56" s="100"/>
      <c r="BN56" s="100"/>
      <c r="BO56" s="100"/>
      <c r="BP56" s="100"/>
      <c r="BQ56" s="100"/>
      <c r="BR56" s="100"/>
      <c r="BS56" s="100"/>
      <c r="BT56" s="100"/>
      <c r="BU56" s="100"/>
      <c r="BV56" s="100"/>
      <c r="BW56" s="100"/>
      <c r="BX56" s="100"/>
      <c r="BY56" s="100"/>
      <c r="BZ56" s="100"/>
      <c r="CA56" s="100"/>
      <c r="CB56" s="100"/>
      <c r="CC56" s="100"/>
      <c r="CD56" s="100"/>
      <c r="CE56" s="100"/>
      <c r="CF56" s="100"/>
      <c r="CG56" s="100"/>
      <c r="CH56" s="100"/>
      <c r="CI56" s="100"/>
      <c r="CJ56" s="100"/>
      <c r="CK56" s="100"/>
      <c r="CL56" s="100"/>
      <c r="CM56" s="100"/>
      <c r="CN56" s="100"/>
      <c r="CO56" s="100"/>
      <c r="CP56" s="100"/>
      <c r="CQ56" s="100"/>
      <c r="CR56" s="100"/>
      <c r="CS56" s="100"/>
      <c r="CT56" s="100"/>
      <c r="CU56" s="100"/>
      <c r="CV56" s="100"/>
      <c r="CW56" s="100"/>
      <c r="CX56" s="100"/>
      <c r="CY56" s="100"/>
      <c r="CZ56" s="100"/>
      <c r="DA56" s="100"/>
      <c r="DB56" s="100"/>
    </row>
    <row r="57" spans="2:106" ht="11.1" customHeight="1" x14ac:dyDescent="0.3">
      <c r="B57" s="157"/>
      <c r="C57" s="87" t="s">
        <v>78</v>
      </c>
      <c r="D57" s="91" t="s">
        <v>161</v>
      </c>
      <c r="E57" s="96" t="s">
        <v>17</v>
      </c>
      <c r="F57" s="101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  <c r="CD57" s="100"/>
      <c r="CE57" s="100"/>
      <c r="CF57" s="100"/>
      <c r="CG57" s="100"/>
      <c r="CH57" s="100"/>
      <c r="CI57" s="100"/>
      <c r="CJ57" s="100"/>
      <c r="CK57" s="100"/>
      <c r="CL57" s="100"/>
      <c r="CM57" s="100"/>
      <c r="CN57" s="100"/>
      <c r="CO57" s="100"/>
      <c r="CP57" s="100"/>
      <c r="CQ57" s="100"/>
      <c r="CR57" s="100"/>
      <c r="CS57" s="100"/>
      <c r="CT57" s="100"/>
      <c r="CU57" s="100"/>
      <c r="CV57" s="100"/>
      <c r="CW57" s="100"/>
      <c r="CX57" s="100"/>
      <c r="CY57" s="100"/>
      <c r="CZ57" s="100"/>
      <c r="DA57" s="100"/>
      <c r="DB57" s="100"/>
    </row>
    <row r="58" spans="2:106" ht="11.1" customHeight="1" x14ac:dyDescent="0.3">
      <c r="B58" s="157"/>
      <c r="C58" s="87" t="s">
        <v>79</v>
      </c>
      <c r="D58" s="91" t="s">
        <v>162</v>
      </c>
      <c r="E58" s="96" t="s">
        <v>16</v>
      </c>
      <c r="F58" s="101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  <c r="CD58" s="100"/>
      <c r="CE58" s="100"/>
      <c r="CF58" s="100"/>
      <c r="CG58" s="100"/>
      <c r="CH58" s="100"/>
      <c r="CI58" s="100"/>
      <c r="CJ58" s="100"/>
      <c r="CK58" s="100"/>
      <c r="CL58" s="100"/>
      <c r="CM58" s="100"/>
      <c r="CN58" s="100"/>
      <c r="CO58" s="100"/>
      <c r="CP58" s="100"/>
      <c r="CQ58" s="100"/>
      <c r="CR58" s="100"/>
      <c r="CS58" s="100"/>
      <c r="CT58" s="100"/>
      <c r="CU58" s="100"/>
      <c r="CV58" s="100"/>
      <c r="CW58" s="100"/>
      <c r="CX58" s="100"/>
      <c r="CY58" s="100"/>
      <c r="CZ58" s="100"/>
      <c r="DA58" s="100"/>
      <c r="DB58" s="100"/>
    </row>
    <row r="59" spans="2:106" ht="11.1" customHeight="1" x14ac:dyDescent="0.3">
      <c r="B59" s="157"/>
      <c r="C59" s="87" t="s">
        <v>80</v>
      </c>
      <c r="D59" s="91" t="s">
        <v>163</v>
      </c>
      <c r="E59" s="96" t="s">
        <v>16</v>
      </c>
      <c r="F59" s="101"/>
      <c r="G59" s="100"/>
      <c r="H59" s="100"/>
      <c r="I59" s="100"/>
      <c r="J59" s="100"/>
      <c r="K59" s="100"/>
      <c r="L59" s="100"/>
      <c r="M59" s="100"/>
      <c r="N59" s="100"/>
      <c r="O59" s="100"/>
      <c r="P59" s="100"/>
      <c r="Q59" s="100"/>
      <c r="R59" s="100"/>
      <c r="S59" s="100"/>
      <c r="T59" s="100"/>
      <c r="U59" s="100"/>
      <c r="V59" s="100"/>
      <c r="W59" s="100"/>
      <c r="X59" s="100"/>
      <c r="Y59" s="100"/>
      <c r="Z59" s="100"/>
      <c r="AA59" s="100"/>
      <c r="AB59" s="100"/>
      <c r="AC59" s="100"/>
      <c r="AD59" s="100"/>
      <c r="AE59" s="100"/>
      <c r="AF59" s="100"/>
      <c r="AG59" s="100"/>
      <c r="AH59" s="100"/>
      <c r="AI59" s="100"/>
      <c r="AJ59" s="100"/>
      <c r="AK59" s="100"/>
      <c r="AL59" s="100"/>
      <c r="AM59" s="100"/>
      <c r="AN59" s="100"/>
      <c r="AO59" s="100"/>
      <c r="AP59" s="100"/>
      <c r="AQ59" s="100"/>
      <c r="AR59" s="100"/>
      <c r="AS59" s="100"/>
      <c r="AT59" s="100"/>
      <c r="AU59" s="100"/>
      <c r="AV59" s="100"/>
      <c r="AW59" s="100"/>
      <c r="AX59" s="100"/>
      <c r="AY59" s="100"/>
      <c r="AZ59" s="100"/>
      <c r="BA59" s="100"/>
      <c r="BB59" s="100"/>
      <c r="BC59" s="100"/>
      <c r="BD59" s="100"/>
      <c r="BE59" s="100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  <c r="CD59" s="100"/>
      <c r="CE59" s="100"/>
      <c r="CF59" s="100"/>
      <c r="CG59" s="100"/>
      <c r="CH59" s="100"/>
      <c r="CI59" s="100"/>
      <c r="CJ59" s="100"/>
      <c r="CK59" s="100"/>
      <c r="CL59" s="100"/>
      <c r="CM59" s="100"/>
      <c r="CN59" s="100"/>
      <c r="CO59" s="100"/>
      <c r="CP59" s="100"/>
      <c r="CQ59" s="100"/>
      <c r="CR59" s="100"/>
      <c r="CS59" s="100"/>
      <c r="CT59" s="100"/>
      <c r="CU59" s="100"/>
      <c r="CV59" s="100"/>
      <c r="CW59" s="100"/>
      <c r="CX59" s="100"/>
      <c r="CY59" s="100"/>
      <c r="CZ59" s="100"/>
      <c r="DA59" s="100"/>
      <c r="DB59" s="100"/>
    </row>
    <row r="60" spans="2:106" ht="11.1" customHeight="1" x14ac:dyDescent="0.3">
      <c r="B60" s="157"/>
      <c r="C60" s="87" t="s">
        <v>81</v>
      </c>
      <c r="D60" s="91" t="s">
        <v>165</v>
      </c>
      <c r="E60" s="96" t="s">
        <v>17</v>
      </c>
      <c r="F60" s="101"/>
      <c r="G60" s="100"/>
      <c r="H60" s="100"/>
      <c r="I60" s="100"/>
      <c r="J60" s="100"/>
      <c r="K60" s="100"/>
      <c r="L60" s="100"/>
      <c r="M60" s="100"/>
      <c r="N60" s="100"/>
      <c r="O60" s="100"/>
      <c r="P60" s="100"/>
      <c r="Q60" s="100"/>
      <c r="R60" s="100"/>
      <c r="S60" s="100"/>
      <c r="T60" s="100"/>
      <c r="U60" s="100"/>
      <c r="V60" s="100"/>
      <c r="W60" s="100"/>
      <c r="X60" s="100"/>
      <c r="Y60" s="100"/>
      <c r="Z60" s="100"/>
      <c r="AA60" s="100"/>
      <c r="AB60" s="100"/>
      <c r="AC60" s="100"/>
      <c r="AD60" s="100"/>
      <c r="AE60" s="100"/>
      <c r="AF60" s="100"/>
      <c r="AG60" s="100"/>
      <c r="AH60" s="100"/>
      <c r="AI60" s="100"/>
      <c r="AJ60" s="100"/>
      <c r="AK60" s="100"/>
      <c r="AL60" s="100"/>
      <c r="AM60" s="100"/>
      <c r="AN60" s="100"/>
      <c r="AO60" s="100"/>
      <c r="AP60" s="100"/>
      <c r="AQ60" s="100"/>
      <c r="AR60" s="100"/>
      <c r="AS60" s="100"/>
      <c r="AT60" s="100"/>
      <c r="AU60" s="100"/>
      <c r="AV60" s="100"/>
      <c r="AW60" s="100"/>
      <c r="AX60" s="100"/>
      <c r="AY60" s="100"/>
      <c r="AZ60" s="100"/>
      <c r="BA60" s="100"/>
      <c r="BB60" s="100"/>
      <c r="BC60" s="100"/>
      <c r="BD60" s="100"/>
      <c r="BE60" s="100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  <c r="CD60" s="100"/>
      <c r="CE60" s="100"/>
      <c r="CF60" s="100"/>
      <c r="CG60" s="100"/>
      <c r="CH60" s="100"/>
      <c r="CI60" s="100"/>
      <c r="CJ60" s="100"/>
      <c r="CK60" s="100"/>
      <c r="CL60" s="100"/>
      <c r="CM60" s="100"/>
      <c r="CN60" s="100"/>
      <c r="CO60" s="100"/>
      <c r="CP60" s="100"/>
      <c r="CQ60" s="100"/>
      <c r="CR60" s="100"/>
      <c r="CS60" s="100"/>
      <c r="CT60" s="100"/>
      <c r="CU60" s="100"/>
      <c r="CV60" s="100"/>
      <c r="CW60" s="100"/>
      <c r="CX60" s="100"/>
      <c r="CY60" s="100"/>
      <c r="CZ60" s="100"/>
      <c r="DA60" s="100"/>
      <c r="DB60" s="100"/>
    </row>
    <row r="61" spans="2:106" ht="11.1" customHeight="1" x14ac:dyDescent="0.3">
      <c r="B61" s="157"/>
      <c r="C61" s="87" t="s">
        <v>82</v>
      </c>
      <c r="D61" s="91" t="s">
        <v>167</v>
      </c>
      <c r="E61" s="96" t="s">
        <v>16</v>
      </c>
      <c r="F61" s="101"/>
      <c r="G61" s="100"/>
      <c r="H61" s="100"/>
      <c r="I61" s="100"/>
      <c r="J61" s="100"/>
      <c r="K61" s="100"/>
      <c r="L61" s="100"/>
      <c r="M61" s="100"/>
      <c r="N61" s="100"/>
      <c r="O61" s="100"/>
      <c r="P61" s="100"/>
      <c r="Q61" s="100"/>
      <c r="R61" s="100"/>
      <c r="S61" s="100"/>
      <c r="T61" s="100"/>
      <c r="U61" s="100"/>
      <c r="V61" s="100"/>
      <c r="W61" s="100"/>
      <c r="X61" s="100"/>
      <c r="Y61" s="100"/>
      <c r="Z61" s="100"/>
      <c r="AA61" s="100"/>
      <c r="AB61" s="100"/>
      <c r="AC61" s="100"/>
      <c r="AD61" s="100"/>
      <c r="AE61" s="100"/>
      <c r="AF61" s="100"/>
      <c r="AG61" s="100"/>
      <c r="AH61" s="100"/>
      <c r="AI61" s="100"/>
      <c r="AJ61" s="100"/>
      <c r="AK61" s="100"/>
      <c r="AL61" s="100"/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0"/>
      <c r="AX61" s="100"/>
      <c r="AY61" s="100"/>
      <c r="AZ61" s="100"/>
      <c r="BA61" s="100"/>
      <c r="BB61" s="100"/>
      <c r="BC61" s="100"/>
      <c r="BD61" s="100"/>
      <c r="BE61" s="100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  <c r="CD61" s="100"/>
      <c r="CE61" s="100"/>
      <c r="CF61" s="100"/>
      <c r="CG61" s="100"/>
      <c r="CH61" s="100"/>
      <c r="CI61" s="100"/>
      <c r="CJ61" s="100"/>
      <c r="CK61" s="100"/>
      <c r="CL61" s="100"/>
      <c r="CM61" s="100"/>
      <c r="CN61" s="100"/>
      <c r="CO61" s="100"/>
      <c r="CP61" s="100"/>
      <c r="CQ61" s="100"/>
      <c r="CR61" s="100"/>
      <c r="CS61" s="100"/>
      <c r="CT61" s="100"/>
      <c r="CU61" s="100"/>
      <c r="CV61" s="100"/>
      <c r="CW61" s="100"/>
      <c r="CX61" s="100"/>
      <c r="CY61" s="100"/>
      <c r="CZ61" s="100"/>
      <c r="DA61" s="100"/>
      <c r="DB61" s="100"/>
    </row>
    <row r="62" spans="2:106" ht="11.1" customHeight="1" x14ac:dyDescent="0.3">
      <c r="B62" s="157"/>
      <c r="C62" s="87" t="s">
        <v>83</v>
      </c>
      <c r="D62" s="91" t="s">
        <v>168</v>
      </c>
      <c r="E62" s="96" t="s">
        <v>16</v>
      </c>
      <c r="F62" s="101"/>
      <c r="G62" s="100"/>
      <c r="H62" s="100"/>
      <c r="I62" s="100"/>
      <c r="J62" s="100"/>
      <c r="K62" s="100"/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00"/>
      <c r="AF62" s="100"/>
      <c r="AG62" s="100"/>
      <c r="AH62" s="100"/>
      <c r="AI62" s="100"/>
      <c r="AJ62" s="100"/>
      <c r="AK62" s="100"/>
      <c r="AL62" s="100"/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0"/>
      <c r="AX62" s="100"/>
      <c r="AY62" s="100"/>
      <c r="AZ62" s="100"/>
      <c r="BA62" s="100"/>
      <c r="BB62" s="100"/>
      <c r="BC62" s="100"/>
      <c r="BD62" s="100"/>
      <c r="BE62" s="100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  <c r="CD62" s="100"/>
      <c r="CE62" s="100"/>
      <c r="CF62" s="100"/>
      <c r="CG62" s="100"/>
      <c r="CH62" s="100"/>
      <c r="CI62" s="100"/>
      <c r="CJ62" s="100"/>
      <c r="CK62" s="100"/>
      <c r="CL62" s="100"/>
      <c r="CM62" s="100"/>
      <c r="CN62" s="100"/>
      <c r="CO62" s="100"/>
      <c r="CP62" s="100"/>
      <c r="CQ62" s="100"/>
      <c r="CR62" s="100"/>
      <c r="CS62" s="100"/>
      <c r="CT62" s="100"/>
      <c r="CU62" s="100"/>
      <c r="CV62" s="100"/>
      <c r="CW62" s="100"/>
      <c r="CX62" s="100"/>
      <c r="CY62" s="100"/>
      <c r="CZ62" s="100"/>
      <c r="DA62" s="100"/>
      <c r="DB62" s="100"/>
    </row>
    <row r="63" spans="2:106" ht="11.1" customHeight="1" x14ac:dyDescent="0.3">
      <c r="B63" s="157"/>
      <c r="C63" s="87" t="s">
        <v>84</v>
      </c>
      <c r="D63" s="91" t="s">
        <v>170</v>
      </c>
      <c r="E63" s="96" t="s">
        <v>15</v>
      </c>
      <c r="F63" s="101"/>
      <c r="G63" s="100"/>
      <c r="H63" s="100"/>
      <c r="I63" s="100"/>
      <c r="J63" s="100"/>
      <c r="K63" s="100"/>
      <c r="L63" s="100"/>
      <c r="M63" s="100"/>
      <c r="N63" s="100"/>
      <c r="O63" s="100"/>
      <c r="P63" s="100"/>
      <c r="Q63" s="100"/>
      <c r="R63" s="100"/>
      <c r="S63" s="100"/>
      <c r="T63" s="100"/>
      <c r="U63" s="100"/>
      <c r="V63" s="100"/>
      <c r="W63" s="100"/>
      <c r="X63" s="100"/>
      <c r="Y63" s="100"/>
      <c r="Z63" s="100"/>
      <c r="AA63" s="100"/>
      <c r="AB63" s="100"/>
      <c r="AC63" s="100"/>
      <c r="AD63" s="100"/>
      <c r="AE63" s="100"/>
      <c r="AF63" s="100"/>
      <c r="AG63" s="100"/>
      <c r="AH63" s="100"/>
      <c r="AI63" s="100"/>
      <c r="AJ63" s="100"/>
      <c r="AK63" s="100"/>
      <c r="AL63" s="100"/>
      <c r="AM63" s="100"/>
      <c r="AN63" s="100"/>
      <c r="AO63" s="100"/>
      <c r="AP63" s="100"/>
      <c r="AQ63" s="100"/>
      <c r="AR63" s="100"/>
      <c r="AS63" s="100"/>
      <c r="AT63" s="100"/>
      <c r="AU63" s="100"/>
      <c r="AV63" s="100"/>
      <c r="AW63" s="100"/>
      <c r="AX63" s="100"/>
      <c r="AY63" s="100"/>
      <c r="AZ63" s="100"/>
      <c r="BA63" s="100"/>
      <c r="BB63" s="100"/>
      <c r="BC63" s="100"/>
      <c r="BD63" s="100"/>
      <c r="BE63" s="100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  <c r="CD63" s="100"/>
      <c r="CE63" s="100"/>
      <c r="CF63" s="100"/>
      <c r="CG63" s="100"/>
      <c r="CH63" s="100"/>
      <c r="CI63" s="100"/>
      <c r="CJ63" s="100"/>
      <c r="CK63" s="100"/>
      <c r="CL63" s="100"/>
      <c r="CM63" s="100"/>
      <c r="CN63" s="100"/>
      <c r="CO63" s="100"/>
      <c r="CP63" s="100"/>
      <c r="CQ63" s="100"/>
      <c r="CR63" s="100"/>
      <c r="CS63" s="100"/>
      <c r="CT63" s="100"/>
      <c r="CU63" s="100"/>
      <c r="CV63" s="100"/>
      <c r="CW63" s="100"/>
      <c r="CX63" s="100"/>
      <c r="CY63" s="100"/>
      <c r="CZ63" s="100"/>
      <c r="DA63" s="100"/>
      <c r="DB63" s="100"/>
    </row>
    <row r="64" spans="2:106" ht="11.1" customHeight="1" x14ac:dyDescent="0.3">
      <c r="B64" s="157"/>
      <c r="C64" s="87" t="s">
        <v>85</v>
      </c>
      <c r="D64" s="91" t="s">
        <v>172</v>
      </c>
      <c r="E64" s="96" t="s">
        <v>16</v>
      </c>
      <c r="F64" s="101"/>
      <c r="G64" s="100"/>
      <c r="H64" s="100"/>
      <c r="I64" s="100"/>
      <c r="J64" s="100"/>
      <c r="K64" s="100"/>
      <c r="L64" s="100"/>
      <c r="M64" s="100"/>
      <c r="N64" s="100"/>
      <c r="O64" s="100"/>
      <c r="P64" s="100"/>
      <c r="Q64" s="100"/>
      <c r="R64" s="100"/>
      <c r="S64" s="100"/>
      <c r="T64" s="100"/>
      <c r="U64" s="100"/>
      <c r="V64" s="100"/>
      <c r="W64" s="100"/>
      <c r="X64" s="100"/>
      <c r="Y64" s="100"/>
      <c r="Z64" s="100"/>
      <c r="AA64" s="100"/>
      <c r="AB64" s="100"/>
      <c r="AC64" s="100"/>
      <c r="AD64" s="100"/>
      <c r="AE64" s="100"/>
      <c r="AF64" s="100"/>
      <c r="AG64" s="100"/>
      <c r="AH64" s="100"/>
      <c r="AI64" s="100"/>
      <c r="AJ64" s="100"/>
      <c r="AK64" s="100"/>
      <c r="AL64" s="100"/>
      <c r="AM64" s="100"/>
      <c r="AN64" s="100"/>
      <c r="AO64" s="100"/>
      <c r="AP64" s="100"/>
      <c r="AQ64" s="100"/>
      <c r="AR64" s="100"/>
      <c r="AS64" s="100"/>
      <c r="AT64" s="100"/>
      <c r="AU64" s="100"/>
      <c r="AV64" s="100"/>
      <c r="AW64" s="100"/>
      <c r="AX64" s="100"/>
      <c r="AY64" s="100"/>
      <c r="AZ64" s="100"/>
      <c r="BA64" s="100"/>
      <c r="BB64" s="100"/>
      <c r="BC64" s="100"/>
      <c r="BD64" s="100"/>
      <c r="BE64" s="100"/>
      <c r="BF64" s="100"/>
      <c r="BG64" s="100"/>
      <c r="BH64" s="100"/>
      <c r="BI64" s="100"/>
      <c r="BJ64" s="100"/>
      <c r="BK64" s="100"/>
      <c r="BL64" s="100"/>
      <c r="BM64" s="100"/>
      <c r="BN64" s="100"/>
      <c r="BO64" s="100"/>
      <c r="BP64" s="100"/>
      <c r="BQ64" s="100"/>
      <c r="BR64" s="100"/>
      <c r="BS64" s="100"/>
      <c r="BT64" s="100"/>
      <c r="BU64" s="100"/>
      <c r="BV64" s="100"/>
      <c r="BW64" s="100"/>
      <c r="BX64" s="100"/>
      <c r="BY64" s="100"/>
      <c r="BZ64" s="100"/>
      <c r="CA64" s="100"/>
      <c r="CB64" s="100"/>
      <c r="CC64" s="100"/>
      <c r="CD64" s="100"/>
      <c r="CE64" s="100"/>
      <c r="CF64" s="100"/>
      <c r="CG64" s="100"/>
      <c r="CH64" s="100"/>
      <c r="CI64" s="100"/>
      <c r="CJ64" s="100"/>
      <c r="CK64" s="100"/>
      <c r="CL64" s="100"/>
      <c r="CM64" s="100"/>
      <c r="CN64" s="100"/>
      <c r="CO64" s="100"/>
      <c r="CP64" s="100"/>
      <c r="CQ64" s="100"/>
      <c r="CR64" s="100"/>
      <c r="CS64" s="100"/>
      <c r="CT64" s="100"/>
      <c r="CU64" s="100"/>
      <c r="CV64" s="100"/>
      <c r="CW64" s="100"/>
      <c r="CX64" s="100"/>
      <c r="CY64" s="100"/>
      <c r="CZ64" s="100"/>
      <c r="DA64" s="100"/>
      <c r="DB64" s="100"/>
    </row>
    <row r="65" spans="2:106" ht="11.1" customHeight="1" x14ac:dyDescent="0.3">
      <c r="B65" s="157"/>
      <c r="C65" s="87" t="s">
        <v>86</v>
      </c>
      <c r="D65" s="91" t="s">
        <v>173</v>
      </c>
      <c r="E65" s="96" t="s">
        <v>15</v>
      </c>
      <c r="F65" s="101"/>
      <c r="G65" s="100"/>
      <c r="H65" s="100"/>
      <c r="I65" s="100"/>
      <c r="J65" s="100"/>
      <c r="K65" s="100"/>
      <c r="L65" s="100"/>
      <c r="M65" s="100"/>
      <c r="N65" s="100"/>
      <c r="O65" s="100"/>
      <c r="P65" s="100"/>
      <c r="Q65" s="100"/>
      <c r="R65" s="100"/>
      <c r="S65" s="100"/>
      <c r="T65" s="100"/>
      <c r="U65" s="100"/>
      <c r="V65" s="100"/>
      <c r="W65" s="100"/>
      <c r="X65" s="100"/>
      <c r="Y65" s="100"/>
      <c r="Z65" s="100"/>
      <c r="AA65" s="100"/>
      <c r="AB65" s="100"/>
      <c r="AC65" s="100"/>
      <c r="AD65" s="100"/>
      <c r="AE65" s="100"/>
      <c r="AF65" s="100"/>
      <c r="AG65" s="100"/>
      <c r="AH65" s="100"/>
      <c r="AI65" s="100"/>
      <c r="AJ65" s="100"/>
      <c r="AK65" s="100"/>
      <c r="AL65" s="100"/>
      <c r="AM65" s="100"/>
      <c r="AN65" s="100"/>
      <c r="AO65" s="100"/>
      <c r="AP65" s="100"/>
      <c r="AQ65" s="100"/>
      <c r="AR65" s="100"/>
      <c r="AS65" s="100"/>
      <c r="AT65" s="100"/>
      <c r="AU65" s="100"/>
      <c r="AV65" s="100"/>
      <c r="AW65" s="100"/>
      <c r="AX65" s="100"/>
      <c r="AY65" s="100"/>
      <c r="AZ65" s="100"/>
      <c r="BA65" s="100"/>
      <c r="BB65" s="100"/>
      <c r="BC65" s="100"/>
      <c r="BD65" s="100"/>
      <c r="BE65" s="100"/>
      <c r="BF65" s="100"/>
      <c r="BG65" s="100"/>
      <c r="BH65" s="100"/>
      <c r="BI65" s="100"/>
      <c r="BJ65" s="100"/>
      <c r="BK65" s="100"/>
      <c r="BL65" s="100"/>
      <c r="BM65" s="100"/>
      <c r="BN65" s="100"/>
      <c r="BO65" s="100"/>
      <c r="BP65" s="100"/>
      <c r="BQ65" s="100"/>
      <c r="BR65" s="100"/>
      <c r="BS65" s="100"/>
      <c r="BT65" s="100"/>
      <c r="BU65" s="100"/>
      <c r="BV65" s="100"/>
      <c r="BW65" s="100"/>
      <c r="BX65" s="100"/>
      <c r="BY65" s="100"/>
      <c r="BZ65" s="100"/>
      <c r="CA65" s="100"/>
      <c r="CB65" s="100"/>
      <c r="CC65" s="100"/>
      <c r="CD65" s="100"/>
      <c r="CE65" s="100"/>
      <c r="CF65" s="100"/>
      <c r="CG65" s="100"/>
      <c r="CH65" s="100"/>
      <c r="CI65" s="100"/>
      <c r="CJ65" s="100"/>
      <c r="CK65" s="100"/>
      <c r="CL65" s="100"/>
      <c r="CM65" s="100"/>
      <c r="CN65" s="100"/>
      <c r="CO65" s="100"/>
      <c r="CP65" s="100"/>
      <c r="CQ65" s="100"/>
      <c r="CR65" s="100"/>
      <c r="CS65" s="100"/>
      <c r="CT65" s="100"/>
      <c r="CU65" s="100"/>
      <c r="CV65" s="100"/>
      <c r="CW65" s="100"/>
      <c r="CX65" s="100"/>
      <c r="CY65" s="100"/>
      <c r="CZ65" s="100"/>
      <c r="DA65" s="100"/>
      <c r="DB65" s="100"/>
    </row>
    <row r="66" spans="2:106" ht="11.1" customHeight="1" x14ac:dyDescent="0.3">
      <c r="B66" s="157"/>
      <c r="C66" s="87" t="s">
        <v>87</v>
      </c>
      <c r="D66" s="91" t="s">
        <v>174</v>
      </c>
      <c r="E66" s="96" t="s">
        <v>17</v>
      </c>
      <c r="F66" s="101"/>
      <c r="G66" s="100"/>
      <c r="H66" s="100"/>
      <c r="I66" s="100"/>
      <c r="J66" s="100"/>
      <c r="K66" s="100"/>
      <c r="L66" s="100"/>
      <c r="M66" s="100"/>
      <c r="N66" s="100"/>
      <c r="O66" s="100"/>
      <c r="P66" s="100"/>
      <c r="Q66" s="100"/>
      <c r="R66" s="100"/>
      <c r="S66" s="100"/>
      <c r="T66" s="100"/>
      <c r="U66" s="100"/>
      <c r="V66" s="100"/>
      <c r="W66" s="100"/>
      <c r="X66" s="100"/>
      <c r="Y66" s="100"/>
      <c r="Z66" s="100"/>
      <c r="AA66" s="100"/>
      <c r="AB66" s="100"/>
      <c r="AC66" s="100"/>
      <c r="AD66" s="100"/>
      <c r="AE66" s="100"/>
      <c r="AF66" s="100"/>
      <c r="AG66" s="100"/>
      <c r="AH66" s="100"/>
      <c r="AI66" s="100"/>
      <c r="AJ66" s="100"/>
      <c r="AK66" s="100"/>
      <c r="AL66" s="100"/>
      <c r="AM66" s="100"/>
      <c r="AN66" s="100"/>
      <c r="AO66" s="100"/>
      <c r="AP66" s="100"/>
      <c r="AQ66" s="100"/>
      <c r="AR66" s="100"/>
      <c r="AS66" s="100"/>
      <c r="AT66" s="100"/>
      <c r="AU66" s="100"/>
      <c r="AV66" s="100"/>
      <c r="AW66" s="100"/>
      <c r="AX66" s="100"/>
      <c r="AY66" s="100"/>
      <c r="AZ66" s="100"/>
      <c r="BA66" s="100"/>
      <c r="BB66" s="100"/>
      <c r="BC66" s="100"/>
      <c r="BD66" s="100"/>
      <c r="BE66" s="100"/>
      <c r="BF66" s="100"/>
      <c r="BG66" s="100"/>
      <c r="BH66" s="100"/>
      <c r="BI66" s="100"/>
      <c r="BJ66" s="100"/>
      <c r="BK66" s="100"/>
      <c r="BL66" s="100"/>
      <c r="BM66" s="100"/>
      <c r="BN66" s="100"/>
      <c r="BO66" s="100"/>
      <c r="BP66" s="100"/>
      <c r="BQ66" s="100"/>
      <c r="BR66" s="100"/>
      <c r="BS66" s="100"/>
      <c r="BT66" s="100"/>
      <c r="BU66" s="100"/>
      <c r="BV66" s="100"/>
      <c r="BW66" s="100"/>
      <c r="BX66" s="100"/>
      <c r="BY66" s="100"/>
      <c r="BZ66" s="100"/>
      <c r="CA66" s="100"/>
      <c r="CB66" s="100"/>
      <c r="CC66" s="100"/>
      <c r="CD66" s="100"/>
      <c r="CE66" s="100"/>
      <c r="CF66" s="100"/>
      <c r="CG66" s="100"/>
      <c r="CH66" s="100"/>
      <c r="CI66" s="100"/>
      <c r="CJ66" s="100"/>
      <c r="CK66" s="100"/>
      <c r="CL66" s="100"/>
      <c r="CM66" s="100"/>
      <c r="CN66" s="100"/>
      <c r="CO66" s="100"/>
      <c r="CP66" s="100"/>
      <c r="CQ66" s="100"/>
      <c r="CR66" s="100"/>
      <c r="CS66" s="100"/>
      <c r="CT66" s="100"/>
      <c r="CU66" s="100"/>
      <c r="CV66" s="100"/>
      <c r="CW66" s="100"/>
      <c r="CX66" s="100"/>
      <c r="CY66" s="100"/>
      <c r="CZ66" s="100"/>
      <c r="DA66" s="100"/>
      <c r="DB66" s="100"/>
    </row>
    <row r="67" spans="2:106" ht="11.1" customHeight="1" x14ac:dyDescent="0.3">
      <c r="B67" s="158"/>
      <c r="C67" s="88" t="s">
        <v>88</v>
      </c>
      <c r="D67" s="92" t="s">
        <v>175</v>
      </c>
      <c r="E67" s="97" t="s">
        <v>16</v>
      </c>
      <c r="F67" s="101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  <c r="CD67" s="100"/>
      <c r="CE67" s="100"/>
      <c r="CF67" s="100"/>
      <c r="CG67" s="100"/>
      <c r="CH67" s="100"/>
      <c r="CI67" s="100"/>
      <c r="CJ67" s="100"/>
      <c r="CK67" s="100"/>
      <c r="CL67" s="100"/>
      <c r="CM67" s="100"/>
      <c r="CN67" s="100"/>
      <c r="CO67" s="100"/>
      <c r="CP67" s="100"/>
      <c r="CQ67" s="100"/>
      <c r="CR67" s="100"/>
      <c r="CS67" s="100"/>
      <c r="CT67" s="100"/>
      <c r="CU67" s="100"/>
      <c r="CV67" s="100"/>
      <c r="CW67" s="100"/>
      <c r="CX67" s="100"/>
      <c r="CY67" s="100"/>
      <c r="CZ67" s="100"/>
      <c r="DA67" s="100"/>
      <c r="DB67" s="100"/>
    </row>
    <row r="68" spans="2:106" ht="11.1" customHeight="1" x14ac:dyDescent="0.3">
      <c r="B68" s="89" t="s">
        <v>20</v>
      </c>
      <c r="C68" s="90" t="s">
        <v>89</v>
      </c>
      <c r="D68" s="93" t="s">
        <v>176</v>
      </c>
      <c r="E68" s="98" t="s">
        <v>15</v>
      </c>
      <c r="F68" s="101"/>
      <c r="G68" s="100"/>
      <c r="H68" s="100"/>
      <c r="I68" s="100"/>
      <c r="J68" s="100"/>
      <c r="K68" s="100"/>
      <c r="L68" s="100"/>
      <c r="M68" s="100"/>
      <c r="N68" s="100"/>
      <c r="O68" s="100"/>
      <c r="P68" s="100"/>
      <c r="Q68" s="100"/>
      <c r="R68" s="100"/>
      <c r="S68" s="100"/>
      <c r="T68" s="100"/>
      <c r="U68" s="100"/>
      <c r="V68" s="100"/>
      <c r="W68" s="100"/>
      <c r="X68" s="100"/>
      <c r="Y68" s="100"/>
      <c r="Z68" s="100"/>
      <c r="AA68" s="100"/>
      <c r="AB68" s="100"/>
      <c r="AC68" s="100"/>
      <c r="AD68" s="100"/>
      <c r="AE68" s="100"/>
      <c r="AF68" s="100"/>
      <c r="AG68" s="100"/>
      <c r="AH68" s="100"/>
      <c r="AI68" s="100"/>
      <c r="AJ68" s="100"/>
      <c r="AK68" s="100"/>
      <c r="AL68" s="100"/>
      <c r="AM68" s="100"/>
      <c r="AN68" s="100"/>
      <c r="AO68" s="100"/>
      <c r="AP68" s="100"/>
      <c r="AQ68" s="100"/>
      <c r="AR68" s="100"/>
      <c r="AS68" s="100"/>
      <c r="AT68" s="100"/>
      <c r="AU68" s="100"/>
      <c r="AV68" s="100"/>
      <c r="AW68" s="100"/>
      <c r="AX68" s="100"/>
      <c r="AY68" s="100"/>
      <c r="AZ68" s="100"/>
      <c r="BA68" s="100"/>
      <c r="BB68" s="100"/>
      <c r="BC68" s="100"/>
      <c r="BD68" s="100"/>
      <c r="BE68" s="100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  <c r="CD68" s="100"/>
      <c r="CE68" s="100"/>
      <c r="CF68" s="100"/>
      <c r="CG68" s="100"/>
      <c r="CH68" s="100"/>
      <c r="CI68" s="100"/>
      <c r="CJ68" s="100"/>
      <c r="CK68" s="100"/>
      <c r="CL68" s="100"/>
      <c r="CM68" s="100"/>
      <c r="CN68" s="100"/>
      <c r="CO68" s="100"/>
      <c r="CP68" s="100"/>
      <c r="CQ68" s="100"/>
      <c r="CR68" s="100"/>
      <c r="CS68" s="100"/>
      <c r="CT68" s="100"/>
      <c r="CU68" s="100"/>
      <c r="CV68" s="100"/>
      <c r="CW68" s="100"/>
      <c r="CX68" s="100"/>
      <c r="CY68" s="100"/>
      <c r="CZ68" s="100"/>
      <c r="DA68" s="100"/>
      <c r="DB68" s="100"/>
    </row>
    <row r="69" spans="2:106" ht="11.1" customHeight="1" x14ac:dyDescent="0.3">
      <c r="B69" s="156" t="s">
        <v>21</v>
      </c>
      <c r="C69" s="86" t="s">
        <v>90</v>
      </c>
      <c r="D69" s="94" t="s">
        <v>177</v>
      </c>
      <c r="E69" s="95" t="s">
        <v>16</v>
      </c>
      <c r="F69" s="101"/>
      <c r="G69" s="100"/>
      <c r="H69" s="100"/>
      <c r="I69" s="100"/>
      <c r="J69" s="100"/>
      <c r="K69" s="100"/>
      <c r="L69" s="100"/>
      <c r="M69" s="100"/>
      <c r="N69" s="100"/>
      <c r="O69" s="100"/>
      <c r="P69" s="100"/>
      <c r="Q69" s="100"/>
      <c r="R69" s="100"/>
      <c r="S69" s="100"/>
      <c r="T69" s="100"/>
      <c r="U69" s="100"/>
      <c r="V69" s="100"/>
      <c r="W69" s="100"/>
      <c r="X69" s="100"/>
      <c r="Y69" s="100"/>
      <c r="Z69" s="100"/>
      <c r="AA69" s="100"/>
      <c r="AB69" s="100"/>
      <c r="AC69" s="100"/>
      <c r="AD69" s="100"/>
      <c r="AE69" s="100"/>
      <c r="AF69" s="100"/>
      <c r="AG69" s="100"/>
      <c r="AH69" s="100"/>
      <c r="AI69" s="100"/>
      <c r="AJ69" s="100"/>
      <c r="AK69" s="100"/>
      <c r="AL69" s="100"/>
      <c r="AM69" s="100"/>
      <c r="AN69" s="100"/>
      <c r="AO69" s="100"/>
      <c r="AP69" s="100"/>
      <c r="AQ69" s="100"/>
      <c r="AR69" s="100"/>
      <c r="AS69" s="100"/>
      <c r="AT69" s="100"/>
      <c r="AU69" s="100"/>
      <c r="AV69" s="100"/>
      <c r="AW69" s="100"/>
      <c r="AX69" s="100"/>
      <c r="AY69" s="100"/>
      <c r="AZ69" s="100"/>
      <c r="BA69" s="100"/>
      <c r="BB69" s="100"/>
      <c r="BC69" s="100"/>
      <c r="BD69" s="100"/>
      <c r="BE69" s="100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  <c r="CD69" s="100"/>
      <c r="CE69" s="100"/>
      <c r="CF69" s="100"/>
      <c r="CG69" s="100"/>
      <c r="CH69" s="100"/>
      <c r="CI69" s="100"/>
      <c r="CJ69" s="100"/>
      <c r="CK69" s="100"/>
      <c r="CL69" s="100"/>
      <c r="CM69" s="100"/>
      <c r="CN69" s="100"/>
      <c r="CO69" s="100"/>
      <c r="CP69" s="100"/>
      <c r="CQ69" s="100"/>
      <c r="CR69" s="100"/>
      <c r="CS69" s="100"/>
      <c r="CT69" s="100"/>
      <c r="CU69" s="100"/>
      <c r="CV69" s="100"/>
      <c r="CW69" s="100"/>
      <c r="CX69" s="100"/>
      <c r="CY69" s="100"/>
      <c r="CZ69" s="100"/>
      <c r="DA69" s="100"/>
      <c r="DB69" s="100"/>
    </row>
    <row r="70" spans="2:106" ht="11.1" customHeight="1" x14ac:dyDescent="0.3">
      <c r="B70" s="157"/>
      <c r="C70" s="87" t="s">
        <v>91</v>
      </c>
      <c r="D70" s="91" t="s">
        <v>178</v>
      </c>
      <c r="E70" s="96" t="s">
        <v>16</v>
      </c>
      <c r="F70" s="101"/>
      <c r="G70" s="100"/>
      <c r="H70" s="100"/>
      <c r="I70" s="100"/>
      <c r="J70" s="100"/>
      <c r="K70" s="100"/>
      <c r="L70" s="100"/>
      <c r="M70" s="100"/>
      <c r="N70" s="100"/>
      <c r="O70" s="100"/>
      <c r="P70" s="100"/>
      <c r="Q70" s="100"/>
      <c r="R70" s="100"/>
      <c r="S70" s="100"/>
      <c r="T70" s="100"/>
      <c r="U70" s="100"/>
      <c r="V70" s="100"/>
      <c r="W70" s="100"/>
      <c r="X70" s="100"/>
      <c r="Y70" s="100"/>
      <c r="Z70" s="100"/>
      <c r="AA70" s="100"/>
      <c r="AB70" s="100"/>
      <c r="AC70" s="100"/>
      <c r="AD70" s="100"/>
      <c r="AE70" s="100"/>
      <c r="AF70" s="100"/>
      <c r="AG70" s="100"/>
      <c r="AH70" s="100"/>
      <c r="AI70" s="100"/>
      <c r="AJ70" s="100"/>
      <c r="AK70" s="100"/>
      <c r="AL70" s="100"/>
      <c r="AM70" s="100"/>
      <c r="AN70" s="100"/>
      <c r="AO70" s="100"/>
      <c r="AP70" s="100"/>
      <c r="AQ70" s="100"/>
      <c r="AR70" s="100"/>
      <c r="AS70" s="100"/>
      <c r="AT70" s="100"/>
      <c r="AU70" s="100"/>
      <c r="AV70" s="100"/>
      <c r="AW70" s="100"/>
      <c r="AX70" s="100"/>
      <c r="AY70" s="100"/>
      <c r="AZ70" s="100"/>
      <c r="BA70" s="100"/>
      <c r="BB70" s="100"/>
      <c r="BC70" s="100"/>
      <c r="BD70" s="100"/>
      <c r="BE70" s="100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  <c r="CD70" s="100"/>
      <c r="CE70" s="100"/>
      <c r="CF70" s="100"/>
      <c r="CG70" s="100"/>
      <c r="CH70" s="100"/>
      <c r="CI70" s="100"/>
      <c r="CJ70" s="100"/>
      <c r="CK70" s="100"/>
      <c r="CL70" s="100"/>
      <c r="CM70" s="100"/>
      <c r="CN70" s="100"/>
      <c r="CO70" s="100"/>
      <c r="CP70" s="100"/>
      <c r="CQ70" s="100"/>
      <c r="CR70" s="100"/>
      <c r="CS70" s="100"/>
      <c r="CT70" s="100"/>
      <c r="CU70" s="100"/>
      <c r="CV70" s="100"/>
      <c r="CW70" s="100"/>
      <c r="CX70" s="100"/>
      <c r="CY70" s="100"/>
      <c r="CZ70" s="100"/>
      <c r="DA70" s="100"/>
      <c r="DB70" s="100"/>
    </row>
    <row r="71" spans="2:106" ht="11.1" customHeight="1" x14ac:dyDescent="0.3">
      <c r="B71" s="158"/>
      <c r="C71" s="88" t="s">
        <v>92</v>
      </c>
      <c r="D71" s="92" t="s">
        <v>179</v>
      </c>
      <c r="E71" s="97" t="s">
        <v>16</v>
      </c>
      <c r="F71" s="101"/>
      <c r="G71" s="100"/>
      <c r="H71" s="100"/>
      <c r="I71" s="100"/>
      <c r="J71" s="100"/>
      <c r="K71" s="100"/>
      <c r="L71" s="100"/>
      <c r="M71" s="100"/>
      <c r="N71" s="100"/>
      <c r="O71" s="100"/>
      <c r="P71" s="100"/>
      <c r="Q71" s="100"/>
      <c r="R71" s="100"/>
      <c r="S71" s="100"/>
      <c r="T71" s="100"/>
      <c r="U71" s="100"/>
      <c r="V71" s="100"/>
      <c r="W71" s="100"/>
      <c r="X71" s="100"/>
      <c r="Y71" s="100"/>
      <c r="Z71" s="100"/>
      <c r="AA71" s="100"/>
      <c r="AB71" s="100"/>
      <c r="AC71" s="100"/>
      <c r="AD71" s="100"/>
      <c r="AE71" s="100"/>
      <c r="AF71" s="100"/>
      <c r="AG71" s="100"/>
      <c r="AH71" s="100"/>
      <c r="AI71" s="100"/>
      <c r="AJ71" s="100"/>
      <c r="AK71" s="100"/>
      <c r="AL71" s="100"/>
      <c r="AM71" s="100"/>
      <c r="AN71" s="100"/>
      <c r="AO71" s="100"/>
      <c r="AP71" s="100"/>
      <c r="AQ71" s="100"/>
      <c r="AR71" s="100"/>
      <c r="AS71" s="100"/>
      <c r="AT71" s="100"/>
      <c r="AU71" s="100"/>
      <c r="AV71" s="100"/>
      <c r="AW71" s="100"/>
      <c r="AX71" s="100"/>
      <c r="AY71" s="100"/>
      <c r="AZ71" s="100"/>
      <c r="BA71" s="100"/>
      <c r="BB71" s="100"/>
      <c r="BC71" s="100"/>
      <c r="BD71" s="100"/>
      <c r="BE71" s="100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  <c r="CD71" s="100"/>
      <c r="CE71" s="100"/>
      <c r="CF71" s="100"/>
      <c r="CG71" s="100"/>
      <c r="CH71" s="100"/>
      <c r="CI71" s="100"/>
      <c r="CJ71" s="100"/>
      <c r="CK71" s="100"/>
      <c r="CL71" s="100"/>
      <c r="CM71" s="100"/>
      <c r="CN71" s="100"/>
      <c r="CO71" s="100"/>
      <c r="CP71" s="100"/>
      <c r="CQ71" s="100"/>
      <c r="CR71" s="100"/>
      <c r="CS71" s="100"/>
      <c r="CT71" s="100"/>
      <c r="CU71" s="100"/>
      <c r="CV71" s="100"/>
      <c r="CW71" s="100"/>
      <c r="CX71" s="100"/>
      <c r="CY71" s="100"/>
      <c r="CZ71" s="100"/>
      <c r="DA71" s="100"/>
      <c r="DB71" s="100"/>
    </row>
    <row r="72" spans="2:106" ht="11.1" customHeight="1" x14ac:dyDescent="0.3">
      <c r="E72" s="99" t="s">
        <v>269</v>
      </c>
      <c r="F72" s="101"/>
    </row>
    <row r="73" spans="2:106" ht="11.1" customHeight="1" x14ac:dyDescent="0.3">
      <c r="E73" s="99" t="s">
        <v>15</v>
      </c>
      <c r="F73" s="101"/>
    </row>
    <row r="74" spans="2:106" ht="11.1" customHeight="1" x14ac:dyDescent="0.3">
      <c r="E74" s="99" t="s">
        <v>16</v>
      </c>
      <c r="F74" s="101"/>
    </row>
    <row r="75" spans="2:106" ht="11.1" customHeight="1" x14ac:dyDescent="0.3">
      <c r="E75" s="99" t="s">
        <v>17</v>
      </c>
      <c r="F75" s="101"/>
    </row>
    <row r="76" spans="2:106" ht="11.1" customHeight="1" x14ac:dyDescent="0.3">
      <c r="E76" s="99" t="s">
        <v>270</v>
      </c>
      <c r="F76" s="101"/>
    </row>
    <row r="77" spans="2:106" ht="11.1" customHeight="1" x14ac:dyDescent="0.3"/>
    <row r="78" spans="2:106" ht="11.1" customHeight="1" x14ac:dyDescent="0.3"/>
    <row r="79" spans="2:106" ht="11.1" customHeight="1" x14ac:dyDescent="0.3"/>
  </sheetData>
  <mergeCells count="4">
    <mergeCell ref="B5:B17"/>
    <mergeCell ref="B18:B37"/>
    <mergeCell ref="B38:B67"/>
    <mergeCell ref="B69:B71"/>
  </mergeCells>
  <phoneticPr fontId="1" type="noConversion"/>
  <conditionalFormatting sqref="G5:DW71">
    <cfRule type="cellIs" dxfId="10" priority="1" operator="equal">
      <formula>"수동점검"</formula>
    </cfRule>
    <cfRule type="cellIs" dxfId="9" priority="2" operator="equal">
      <formula>"N/A"</formula>
    </cfRule>
    <cfRule type="cellIs" dxfId="8" priority="3" operator="equal">
      <formula>"취약"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2154-9E0D-4F72-A30B-9A60C32A36AA}">
  <dimension ref="A1:X105"/>
  <sheetViews>
    <sheetView view="pageBreakPreview" zoomScale="40" zoomScaleNormal="55" zoomScaleSheetLayoutView="40" workbookViewId="0">
      <selection activeCell="Q31" sqref="Q31"/>
    </sheetView>
  </sheetViews>
  <sheetFormatPr defaultRowHeight="16.5" x14ac:dyDescent="0.3"/>
  <cols>
    <col min="1" max="1" width="3.625" style="8" customWidth="1"/>
    <col min="2" max="2" width="15.75" style="8" customWidth="1"/>
    <col min="3" max="3" width="7" style="8" bestFit="1" customWidth="1"/>
    <col min="4" max="4" width="46.75" style="8" bestFit="1" customWidth="1"/>
    <col min="5" max="5" width="14.375" style="8" bestFit="1" customWidth="1"/>
    <col min="6" max="6" width="5.5" style="8" customWidth="1"/>
    <col min="7" max="7" width="3" style="8" hidden="1" customWidth="1"/>
    <col min="8" max="8" width="63" style="8" customWidth="1"/>
    <col min="9" max="9" width="9.125" style="8" customWidth="1"/>
    <col min="10" max="10" width="5" style="41" hidden="1" customWidth="1"/>
    <col min="11" max="11" width="66.625" style="8" customWidth="1"/>
    <col min="12" max="12" width="25.625" style="8" customWidth="1"/>
    <col min="13" max="13" width="50.625" style="8" bestFit="1" customWidth="1"/>
    <col min="14" max="14" width="25.625" style="8" customWidth="1"/>
    <col min="15" max="15" width="9.125" customWidth="1"/>
    <col min="16" max="16" width="9.125" hidden="1" customWidth="1"/>
    <col min="17" max="17" width="66.625" customWidth="1"/>
    <col min="18" max="18" width="25.625" customWidth="1"/>
  </cols>
  <sheetData>
    <row r="1" spans="1:24" s="8" customFormat="1" ht="16.5" customHeight="1" x14ac:dyDescent="0.3">
      <c r="A1" s="4" t="s">
        <v>344</v>
      </c>
      <c r="B1" s="5"/>
      <c r="C1" s="5"/>
      <c r="D1" s="5"/>
      <c r="E1" s="6"/>
      <c r="F1" s="6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</row>
    <row r="2" spans="1:24" s="8" customFormat="1" ht="16.5" customHeight="1" x14ac:dyDescent="0.3">
      <c r="A2" s="5"/>
      <c r="B2" s="5"/>
      <c r="C2" s="5"/>
      <c r="D2" s="5"/>
      <c r="E2" s="6"/>
      <c r="F2" s="6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</row>
    <row r="3" spans="1:24" s="8" customFormat="1" ht="16.5" customHeight="1" x14ac:dyDescent="0.3">
      <c r="A3" s="5"/>
      <c r="B3" s="9"/>
      <c r="C3" s="6"/>
      <c r="D3" s="6"/>
      <c r="E3" s="6"/>
      <c r="F3" s="7"/>
      <c r="G3" s="5"/>
      <c r="H3" s="5"/>
      <c r="I3" s="16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</row>
    <row r="4" spans="1:24" s="8" customFormat="1" ht="16.5" customHeight="1" x14ac:dyDescent="0.3">
      <c r="A4" s="5"/>
      <c r="B4" s="10" t="s">
        <v>6</v>
      </c>
      <c r="C4" s="125"/>
      <c r="D4" s="126"/>
      <c r="E4" s="10" t="s">
        <v>3</v>
      </c>
      <c r="F4" s="127"/>
      <c r="G4" s="127"/>
      <c r="H4" s="127"/>
      <c r="I4" s="16"/>
      <c r="J4" s="16"/>
      <c r="K4" s="16"/>
      <c r="L4" s="16"/>
      <c r="M4" s="16"/>
      <c r="N4" s="5"/>
      <c r="O4" s="5"/>
      <c r="P4" s="5"/>
      <c r="Q4" s="5"/>
      <c r="R4" s="5"/>
      <c r="S4" s="5"/>
      <c r="T4" s="5"/>
      <c r="U4" s="5"/>
      <c r="V4" s="5"/>
      <c r="W4" s="5"/>
      <c r="X4" s="5"/>
    </row>
    <row r="5" spans="1:24" s="8" customFormat="1" ht="16.5" customHeight="1" x14ac:dyDescent="0.3">
      <c r="A5" s="5"/>
      <c r="B5" s="10" t="s">
        <v>7</v>
      </c>
      <c r="C5" s="125"/>
      <c r="D5" s="126"/>
      <c r="E5" s="11" t="s">
        <v>8</v>
      </c>
      <c r="F5" s="128"/>
      <c r="G5" s="128"/>
      <c r="H5" s="128"/>
      <c r="I5" s="16"/>
      <c r="J5" s="16"/>
      <c r="K5" s="16"/>
      <c r="L5" s="16"/>
      <c r="M5" s="16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  <row r="6" spans="1:24" s="8" customFormat="1" ht="16.5" customHeight="1" x14ac:dyDescent="0.3">
      <c r="A6" s="5"/>
      <c r="B6" s="10" t="s">
        <v>9</v>
      </c>
      <c r="C6" s="125"/>
      <c r="D6" s="126"/>
      <c r="E6" s="10" t="s">
        <v>5</v>
      </c>
      <c r="F6" s="128"/>
      <c r="G6" s="128"/>
      <c r="H6" s="128"/>
      <c r="I6" s="16"/>
      <c r="J6" s="16"/>
      <c r="K6" s="16"/>
      <c r="L6" s="16"/>
      <c r="M6" s="16"/>
      <c r="N6" s="5"/>
      <c r="O6" s="5"/>
      <c r="P6" s="5"/>
      <c r="Q6" s="5"/>
      <c r="R6" s="5"/>
      <c r="S6" s="5"/>
      <c r="T6" s="5"/>
      <c r="U6" s="5"/>
      <c r="V6" s="5"/>
      <c r="W6" s="5"/>
      <c r="X6" s="5"/>
    </row>
    <row r="7" spans="1:24" x14ac:dyDescent="0.3">
      <c r="A7" s="5"/>
      <c r="B7" s="7"/>
      <c r="C7" s="7"/>
      <c r="D7" s="7"/>
      <c r="E7" s="7"/>
      <c r="F7" s="7"/>
      <c r="G7" s="5"/>
      <c r="H7" s="16"/>
      <c r="I7" s="16"/>
      <c r="J7" s="16"/>
      <c r="K7" s="16"/>
      <c r="L7" s="16"/>
      <c r="M7" s="16"/>
      <c r="N7" s="5"/>
      <c r="O7" s="5"/>
      <c r="P7" s="5"/>
      <c r="Q7" s="5"/>
      <c r="R7" s="5"/>
      <c r="S7" s="5"/>
      <c r="T7" s="5"/>
      <c r="U7" s="5"/>
      <c r="V7" s="5"/>
      <c r="W7" s="5"/>
      <c r="X7" s="5"/>
    </row>
    <row r="8" spans="1:24" x14ac:dyDescent="0.3">
      <c r="A8" s="5"/>
      <c r="B8" s="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5"/>
      <c r="O8" s="5"/>
      <c r="P8" s="5"/>
      <c r="Q8" s="5"/>
      <c r="R8" s="5"/>
      <c r="S8" s="5"/>
      <c r="T8" s="5"/>
      <c r="U8" s="5"/>
      <c r="V8" s="5"/>
      <c r="W8" s="5"/>
      <c r="X8" s="5"/>
    </row>
    <row r="9" spans="1:24" x14ac:dyDescent="0.3">
      <c r="A9" s="5"/>
      <c r="B9" s="17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5"/>
      <c r="O9" s="5"/>
      <c r="P9" s="5"/>
      <c r="Q9" s="5"/>
      <c r="R9" s="5"/>
      <c r="S9" s="5"/>
      <c r="T9" s="5"/>
      <c r="U9" s="5"/>
      <c r="V9" s="5"/>
      <c r="W9" s="5"/>
      <c r="X9" s="5"/>
    </row>
    <row r="10" spans="1:24" x14ac:dyDescent="0.3">
      <c r="A10" s="5"/>
      <c r="B10" s="124" t="s">
        <v>10</v>
      </c>
      <c r="C10" s="124" t="s">
        <v>11</v>
      </c>
      <c r="D10" s="124" t="s">
        <v>12</v>
      </c>
      <c r="E10" s="124"/>
      <c r="F10" s="124" t="s">
        <v>13</v>
      </c>
      <c r="G10" s="124" t="s">
        <v>93</v>
      </c>
      <c r="H10" s="120" t="s">
        <v>94</v>
      </c>
      <c r="I10" s="121" t="s">
        <v>23</v>
      </c>
      <c r="J10" s="122"/>
      <c r="K10" s="122"/>
      <c r="L10" s="122"/>
      <c r="M10" s="122"/>
      <c r="N10" s="123"/>
      <c r="O10" s="120" t="s">
        <v>342</v>
      </c>
      <c r="P10" s="120"/>
      <c r="Q10" s="120"/>
      <c r="R10" s="120"/>
      <c r="S10" s="5"/>
      <c r="T10" s="5"/>
      <c r="U10" s="5"/>
      <c r="V10" s="5"/>
      <c r="W10" s="5"/>
      <c r="X10" s="5"/>
    </row>
    <row r="11" spans="1:24" x14ac:dyDescent="0.3">
      <c r="A11" s="5"/>
      <c r="B11" s="124"/>
      <c r="C11" s="124"/>
      <c r="D11" s="124"/>
      <c r="E11" s="124"/>
      <c r="F11" s="124"/>
      <c r="G11" s="124"/>
      <c r="H11" s="120"/>
      <c r="I11" s="12" t="s">
        <v>24</v>
      </c>
      <c r="J11" s="12" t="s">
        <v>95</v>
      </c>
      <c r="K11" s="12" t="s">
        <v>25</v>
      </c>
      <c r="L11" s="12" t="s">
        <v>96</v>
      </c>
      <c r="M11" s="12" t="s">
        <v>97</v>
      </c>
      <c r="N11" s="12" t="s">
        <v>98</v>
      </c>
      <c r="O11" s="12" t="s">
        <v>24</v>
      </c>
      <c r="P11" s="12" t="s">
        <v>93</v>
      </c>
      <c r="Q11" s="12" t="s">
        <v>25</v>
      </c>
      <c r="R11" s="12" t="s">
        <v>341</v>
      </c>
      <c r="S11" s="5"/>
      <c r="T11" s="5"/>
      <c r="U11" s="5"/>
      <c r="V11" s="5"/>
      <c r="W11" s="5"/>
      <c r="X11" s="5"/>
    </row>
    <row r="12" spans="1:24" ht="24" x14ac:dyDescent="0.3">
      <c r="A12" s="5"/>
      <c r="B12" s="129" t="s">
        <v>14</v>
      </c>
      <c r="C12" s="18" t="s">
        <v>26</v>
      </c>
      <c r="D12" s="132" t="s">
        <v>99</v>
      </c>
      <c r="E12" s="132"/>
      <c r="F12" s="19" t="s">
        <v>15</v>
      </c>
      <c r="G12" s="20">
        <f>IF(F12="상",10,IF(F12="중",8,6))</f>
        <v>10</v>
      </c>
      <c r="H12" s="21" t="s">
        <v>100</v>
      </c>
      <c r="I12" s="103"/>
      <c r="J12" s="23">
        <f>IF(I12="N/A","N/A",(IF(I12="양호",1,IF(I12="위험수용",0.5,0))*$G12))</f>
        <v>0</v>
      </c>
      <c r="K12" s="24"/>
      <c r="L12" s="24"/>
      <c r="M12" s="24" t="str">
        <f>IF(OR(I12="취약",I12="수동점검"),대응방안!G4,"-")</f>
        <v>-</v>
      </c>
      <c r="N12" s="24"/>
      <c r="O12" s="113"/>
      <c r="P12" s="23">
        <f>IF(O12="N/A","N/A",(IF(O12="양호",1,IF(O12="위험수용",0.5,0))*$G12))</f>
        <v>0</v>
      </c>
      <c r="Q12" s="109"/>
      <c r="R12" s="104"/>
      <c r="S12" s="5"/>
      <c r="T12" s="5"/>
      <c r="U12" s="5"/>
      <c r="V12" s="5"/>
      <c r="W12" s="5"/>
      <c r="X12" s="5"/>
    </row>
    <row r="13" spans="1:24" ht="24" x14ac:dyDescent="0.3">
      <c r="A13" s="5"/>
      <c r="B13" s="130"/>
      <c r="C13" s="25" t="s">
        <v>27</v>
      </c>
      <c r="D13" s="133" t="s">
        <v>102</v>
      </c>
      <c r="E13" s="133"/>
      <c r="F13" s="26" t="s">
        <v>15</v>
      </c>
      <c r="G13" s="27">
        <f t="shared" ref="G13:G76" si="0">IF(F13="상",10,IF(F13="중",8,6))</f>
        <v>10</v>
      </c>
      <c r="H13" s="28" t="s">
        <v>103</v>
      </c>
      <c r="I13" s="29"/>
      <c r="J13" s="23">
        <f t="shared" ref="J13:J76" si="1">IF(I13="N/A","N/A",(IF(I13="양호",1,IF(I13="위험수용",0.5,0))*$G13))</f>
        <v>0</v>
      </c>
      <c r="K13" s="30"/>
      <c r="L13" s="30"/>
      <c r="M13" s="30" t="str">
        <f>IF(OR(I13="취약",I13="수동점검"),대응방안!G5,"-")</f>
        <v>-</v>
      </c>
      <c r="N13" s="30"/>
      <c r="O13" s="114"/>
      <c r="P13" s="117">
        <f t="shared" ref="P13:P76" si="2">IF(O13="N/A","N/A",(IF(O13="양호",1,IF(O13="위험수용",0.5,0))*$G13))</f>
        <v>0</v>
      </c>
      <c r="Q13" s="110"/>
      <c r="R13" s="105"/>
      <c r="S13" s="5"/>
      <c r="T13" s="5"/>
      <c r="U13" s="5"/>
      <c r="V13" s="5"/>
      <c r="W13" s="5"/>
      <c r="X13" s="5"/>
    </row>
    <row r="14" spans="1:24" ht="24" x14ac:dyDescent="0.3">
      <c r="A14" s="5"/>
      <c r="B14" s="130"/>
      <c r="C14" s="25" t="s">
        <v>28</v>
      </c>
      <c r="D14" s="133" t="s">
        <v>104</v>
      </c>
      <c r="E14" s="133"/>
      <c r="F14" s="26" t="s">
        <v>15</v>
      </c>
      <c r="G14" s="27">
        <f t="shared" si="0"/>
        <v>10</v>
      </c>
      <c r="H14" s="28" t="s">
        <v>181</v>
      </c>
      <c r="I14" s="29"/>
      <c r="J14" s="23">
        <f t="shared" si="1"/>
        <v>0</v>
      </c>
      <c r="K14" s="30"/>
      <c r="L14" s="30"/>
      <c r="M14" s="30" t="str">
        <f>IF(OR(I14="취약",I14="수동점검"),대응방안!G6,"-")</f>
        <v>-</v>
      </c>
      <c r="N14" s="30"/>
      <c r="O14" s="114"/>
      <c r="P14" s="117">
        <f t="shared" si="2"/>
        <v>0</v>
      </c>
      <c r="Q14" s="110"/>
      <c r="R14" s="105"/>
      <c r="S14" s="5"/>
      <c r="T14" s="5"/>
      <c r="U14" s="5"/>
      <c r="V14" s="5"/>
      <c r="W14" s="5"/>
      <c r="X14" s="5"/>
    </row>
    <row r="15" spans="1:24" ht="24" x14ac:dyDescent="0.3">
      <c r="A15" s="5"/>
      <c r="B15" s="130"/>
      <c r="C15" s="25" t="s">
        <v>29</v>
      </c>
      <c r="D15" s="133" t="s">
        <v>105</v>
      </c>
      <c r="E15" s="133"/>
      <c r="F15" s="26" t="s">
        <v>15</v>
      </c>
      <c r="G15" s="27">
        <f t="shared" si="0"/>
        <v>10</v>
      </c>
      <c r="H15" s="28" t="s">
        <v>182</v>
      </c>
      <c r="I15" s="29"/>
      <c r="J15" s="23">
        <f t="shared" si="1"/>
        <v>0</v>
      </c>
      <c r="K15" s="30"/>
      <c r="L15" s="30"/>
      <c r="M15" s="30" t="str">
        <f>IF(OR(I15="취약",I15="수동점검"),대응방안!G7,"-")</f>
        <v>-</v>
      </c>
      <c r="N15" s="30"/>
      <c r="O15" s="114"/>
      <c r="P15" s="117">
        <f t="shared" si="2"/>
        <v>0</v>
      </c>
      <c r="Q15" s="110"/>
      <c r="R15" s="105"/>
      <c r="S15" s="5"/>
      <c r="T15" s="5"/>
      <c r="U15" s="5"/>
      <c r="V15" s="5"/>
      <c r="W15" s="5"/>
      <c r="X15" s="5"/>
    </row>
    <row r="16" spans="1:24" ht="24" x14ac:dyDescent="0.3">
      <c r="A16" s="5"/>
      <c r="B16" s="130"/>
      <c r="C16" s="25" t="s">
        <v>30</v>
      </c>
      <c r="D16" s="133" t="s">
        <v>106</v>
      </c>
      <c r="E16" s="133"/>
      <c r="F16" s="26" t="s">
        <v>16</v>
      </c>
      <c r="G16" s="27">
        <f t="shared" si="0"/>
        <v>8</v>
      </c>
      <c r="H16" s="28" t="s">
        <v>183</v>
      </c>
      <c r="I16" s="29"/>
      <c r="J16" s="23">
        <f t="shared" si="1"/>
        <v>0</v>
      </c>
      <c r="K16" s="30"/>
      <c r="L16" s="30"/>
      <c r="M16" s="30" t="str">
        <f>IF(OR(I16="취약",I16="수동점검"),대응방안!G8,"-")</f>
        <v>-</v>
      </c>
      <c r="N16" s="30"/>
      <c r="O16" s="114"/>
      <c r="P16" s="117">
        <f t="shared" si="2"/>
        <v>0</v>
      </c>
      <c r="Q16" s="110"/>
      <c r="R16" s="105"/>
      <c r="S16" s="5"/>
      <c r="T16" s="5"/>
      <c r="U16" s="5"/>
      <c r="V16" s="5"/>
      <c r="W16" s="5"/>
      <c r="X16" s="5"/>
    </row>
    <row r="17" spans="1:24" ht="36" x14ac:dyDescent="0.3">
      <c r="A17" s="5"/>
      <c r="B17" s="130"/>
      <c r="C17" s="25" t="s">
        <v>31</v>
      </c>
      <c r="D17" s="133" t="s">
        <v>107</v>
      </c>
      <c r="E17" s="133"/>
      <c r="F17" s="26" t="s">
        <v>15</v>
      </c>
      <c r="G17" s="27">
        <f t="shared" si="0"/>
        <v>10</v>
      </c>
      <c r="H17" s="28" t="s">
        <v>184</v>
      </c>
      <c r="I17" s="29"/>
      <c r="J17" s="23">
        <f t="shared" si="1"/>
        <v>0</v>
      </c>
      <c r="K17" s="30"/>
      <c r="L17" s="30"/>
      <c r="M17" s="30" t="str">
        <f>IF(OR(I17="취약",I17="수동점검"),대응방안!G9,"-")</f>
        <v>-</v>
      </c>
      <c r="N17" s="30"/>
      <c r="O17" s="114"/>
      <c r="P17" s="117">
        <f t="shared" si="2"/>
        <v>0</v>
      </c>
      <c r="Q17" s="110"/>
      <c r="R17" s="105"/>
      <c r="S17" s="5"/>
      <c r="T17" s="5"/>
      <c r="U17" s="5"/>
      <c r="V17" s="5"/>
      <c r="W17" s="5"/>
      <c r="X17" s="5"/>
    </row>
    <row r="18" spans="1:24" ht="24" x14ac:dyDescent="0.3">
      <c r="A18" s="5"/>
      <c r="B18" s="130"/>
      <c r="C18" s="25" t="s">
        <v>32</v>
      </c>
      <c r="D18" s="133" t="s">
        <v>108</v>
      </c>
      <c r="E18" s="133"/>
      <c r="F18" s="26" t="s">
        <v>17</v>
      </c>
      <c r="G18" s="27">
        <f t="shared" si="0"/>
        <v>6</v>
      </c>
      <c r="H18" s="28" t="s">
        <v>185</v>
      </c>
      <c r="I18" s="29"/>
      <c r="J18" s="23">
        <f t="shared" si="1"/>
        <v>0</v>
      </c>
      <c r="K18" s="30"/>
      <c r="L18" s="30"/>
      <c r="M18" s="30" t="str">
        <f>IF(OR(I18="취약",I18="수동점검"),대응방안!G10,"-")</f>
        <v>-</v>
      </c>
      <c r="N18" s="30"/>
      <c r="O18" s="114"/>
      <c r="P18" s="117">
        <f t="shared" si="2"/>
        <v>0</v>
      </c>
      <c r="Q18" s="110"/>
      <c r="R18" s="105"/>
      <c r="S18" s="5"/>
      <c r="T18" s="5"/>
      <c r="U18" s="5"/>
      <c r="V18" s="5"/>
      <c r="W18" s="5"/>
      <c r="X18" s="5"/>
    </row>
    <row r="19" spans="1:24" ht="24" x14ac:dyDescent="0.3">
      <c r="A19" s="5"/>
      <c r="B19" s="130"/>
      <c r="C19" s="25" t="s">
        <v>33</v>
      </c>
      <c r="D19" s="133" t="s">
        <v>109</v>
      </c>
      <c r="E19" s="133"/>
      <c r="F19" s="26" t="s">
        <v>16</v>
      </c>
      <c r="G19" s="27">
        <f t="shared" si="0"/>
        <v>8</v>
      </c>
      <c r="H19" s="28" t="s">
        <v>186</v>
      </c>
      <c r="I19" s="29"/>
      <c r="J19" s="23">
        <f t="shared" si="1"/>
        <v>0</v>
      </c>
      <c r="K19" s="30"/>
      <c r="L19" s="30"/>
      <c r="M19" s="30" t="str">
        <f>IF(OR(I19="취약",I19="수동점검"),대응방안!G11,"-")</f>
        <v>-</v>
      </c>
      <c r="N19" s="30"/>
      <c r="O19" s="114"/>
      <c r="P19" s="117">
        <f t="shared" si="2"/>
        <v>0</v>
      </c>
      <c r="Q19" s="110"/>
      <c r="R19" s="105"/>
      <c r="S19" s="5"/>
      <c r="T19" s="5"/>
      <c r="U19" s="5"/>
      <c r="V19" s="5"/>
      <c r="W19" s="5"/>
      <c r="X19" s="5"/>
    </row>
    <row r="20" spans="1:24" ht="24" x14ac:dyDescent="0.3">
      <c r="A20" s="5"/>
      <c r="B20" s="130"/>
      <c r="C20" s="25" t="s">
        <v>34</v>
      </c>
      <c r="D20" s="133" t="s">
        <v>110</v>
      </c>
      <c r="E20" s="133"/>
      <c r="F20" s="26" t="s">
        <v>17</v>
      </c>
      <c r="G20" s="27">
        <f t="shared" si="0"/>
        <v>6</v>
      </c>
      <c r="H20" s="28" t="s">
        <v>187</v>
      </c>
      <c r="I20" s="29"/>
      <c r="J20" s="23">
        <f t="shared" si="1"/>
        <v>0</v>
      </c>
      <c r="K20" s="30"/>
      <c r="L20" s="30"/>
      <c r="M20" s="30" t="str">
        <f>IF(OR(I20="취약",I20="수동점검"),대응방안!G12,"-")</f>
        <v>-</v>
      </c>
      <c r="N20" s="30"/>
      <c r="O20" s="114"/>
      <c r="P20" s="117">
        <f t="shared" si="2"/>
        <v>0</v>
      </c>
      <c r="Q20" s="110"/>
      <c r="R20" s="105"/>
      <c r="S20" s="5"/>
      <c r="T20" s="5"/>
      <c r="U20" s="5"/>
      <c r="V20" s="5"/>
      <c r="W20" s="5"/>
      <c r="X20" s="5"/>
    </row>
    <row r="21" spans="1:24" ht="24" x14ac:dyDescent="0.3">
      <c r="A21" s="5"/>
      <c r="B21" s="130"/>
      <c r="C21" s="25" t="s">
        <v>35</v>
      </c>
      <c r="D21" s="133" t="s">
        <v>111</v>
      </c>
      <c r="E21" s="133"/>
      <c r="F21" s="26" t="s">
        <v>16</v>
      </c>
      <c r="G21" s="27">
        <f t="shared" si="0"/>
        <v>8</v>
      </c>
      <c r="H21" s="28" t="s">
        <v>112</v>
      </c>
      <c r="I21" s="29"/>
      <c r="J21" s="23">
        <f t="shared" si="1"/>
        <v>0</v>
      </c>
      <c r="K21" s="30"/>
      <c r="L21" s="30"/>
      <c r="M21" s="30" t="str">
        <f>IF(OR(I21="취약",I21="수동점검"),대응방안!G13,"-")</f>
        <v>-</v>
      </c>
      <c r="N21" s="30"/>
      <c r="O21" s="114"/>
      <c r="P21" s="117">
        <f t="shared" si="2"/>
        <v>0</v>
      </c>
      <c r="Q21" s="110"/>
      <c r="R21" s="105"/>
      <c r="S21" s="5"/>
      <c r="T21" s="5"/>
      <c r="U21" s="5"/>
      <c r="V21" s="5"/>
      <c r="W21" s="5"/>
      <c r="X21" s="5"/>
    </row>
    <row r="22" spans="1:24" ht="24" x14ac:dyDescent="0.3">
      <c r="A22" s="5"/>
      <c r="B22" s="130"/>
      <c r="C22" s="25" t="s">
        <v>36</v>
      </c>
      <c r="D22" s="133" t="s">
        <v>113</v>
      </c>
      <c r="E22" s="133"/>
      <c r="F22" s="26" t="s">
        <v>17</v>
      </c>
      <c r="G22" s="27">
        <f t="shared" si="0"/>
        <v>6</v>
      </c>
      <c r="H22" s="28" t="s">
        <v>114</v>
      </c>
      <c r="I22" s="29"/>
      <c r="J22" s="23">
        <f t="shared" si="1"/>
        <v>0</v>
      </c>
      <c r="K22" s="30"/>
      <c r="L22" s="30"/>
      <c r="M22" s="30" t="str">
        <f>IF(OR(I22="취약",I22="수동점검"),대응방안!G14,"-")</f>
        <v>-</v>
      </c>
      <c r="N22" s="30"/>
      <c r="O22" s="114"/>
      <c r="P22" s="117">
        <f t="shared" si="2"/>
        <v>0</v>
      </c>
      <c r="Q22" s="110"/>
      <c r="R22" s="105"/>
      <c r="S22" s="5"/>
      <c r="T22" s="5"/>
      <c r="U22" s="5"/>
      <c r="V22" s="5"/>
      <c r="W22" s="5"/>
      <c r="X22" s="5"/>
    </row>
    <row r="23" spans="1:24" ht="24" x14ac:dyDescent="0.3">
      <c r="A23" s="5"/>
      <c r="B23" s="130"/>
      <c r="C23" s="25" t="s">
        <v>37</v>
      </c>
      <c r="D23" s="133" t="s">
        <v>115</v>
      </c>
      <c r="E23" s="133"/>
      <c r="F23" s="26" t="s">
        <v>17</v>
      </c>
      <c r="G23" s="27">
        <f t="shared" si="0"/>
        <v>6</v>
      </c>
      <c r="H23" s="28" t="s">
        <v>188</v>
      </c>
      <c r="I23" s="29"/>
      <c r="J23" s="23">
        <f t="shared" si="1"/>
        <v>0</v>
      </c>
      <c r="K23" s="30"/>
      <c r="L23" s="30"/>
      <c r="M23" s="30" t="str">
        <f>IF(OR(I23="취약",I23="수동점검"),대응방안!G15,"-")</f>
        <v>-</v>
      </c>
      <c r="N23" s="30"/>
      <c r="O23" s="114"/>
      <c r="P23" s="117">
        <f t="shared" si="2"/>
        <v>0</v>
      </c>
      <c r="Q23" s="110"/>
      <c r="R23" s="105"/>
      <c r="S23" s="5"/>
      <c r="T23" s="5"/>
      <c r="U23" s="5"/>
      <c r="V23" s="5"/>
      <c r="W23" s="5"/>
      <c r="X23" s="5"/>
    </row>
    <row r="24" spans="1:24" ht="24" x14ac:dyDescent="0.3">
      <c r="A24" s="5"/>
      <c r="B24" s="131"/>
      <c r="C24" s="31" t="s">
        <v>38</v>
      </c>
      <c r="D24" s="134" t="s">
        <v>116</v>
      </c>
      <c r="E24" s="134"/>
      <c r="F24" s="32" t="s">
        <v>16</v>
      </c>
      <c r="G24" s="27">
        <f t="shared" si="0"/>
        <v>8</v>
      </c>
      <c r="H24" s="33" t="s">
        <v>189</v>
      </c>
      <c r="I24" s="34"/>
      <c r="J24" s="23">
        <f t="shared" si="1"/>
        <v>0</v>
      </c>
      <c r="K24" s="35"/>
      <c r="L24" s="35"/>
      <c r="M24" s="35" t="str">
        <f>IF(OR(I24="취약",I24="수동점검"),대응방안!G16,"-")</f>
        <v>-</v>
      </c>
      <c r="N24" s="35"/>
      <c r="O24" s="115"/>
      <c r="P24" s="118">
        <f t="shared" si="2"/>
        <v>0</v>
      </c>
      <c r="Q24" s="111"/>
      <c r="R24" s="106"/>
      <c r="S24" s="5"/>
      <c r="T24" s="5"/>
      <c r="U24" s="5"/>
      <c r="V24" s="5"/>
      <c r="W24" s="5"/>
      <c r="X24" s="5"/>
    </row>
    <row r="25" spans="1:24" ht="24" x14ac:dyDescent="0.3">
      <c r="A25" s="5"/>
      <c r="B25" s="129" t="s">
        <v>18</v>
      </c>
      <c r="C25" s="18" t="s">
        <v>39</v>
      </c>
      <c r="D25" s="132" t="s">
        <v>117</v>
      </c>
      <c r="E25" s="132"/>
      <c r="F25" s="19" t="s">
        <v>15</v>
      </c>
      <c r="G25" s="27">
        <f t="shared" si="0"/>
        <v>10</v>
      </c>
      <c r="H25" s="21" t="s">
        <v>190</v>
      </c>
      <c r="I25" s="22"/>
      <c r="J25" s="23">
        <f t="shared" si="1"/>
        <v>0</v>
      </c>
      <c r="K25" s="24"/>
      <c r="L25" s="24"/>
      <c r="M25" s="24" t="str">
        <f>IF(OR(I25="취약",I25="수동점검"),대응방안!G17,"-")</f>
        <v>-</v>
      </c>
      <c r="N25" s="24"/>
      <c r="O25" s="113"/>
      <c r="P25" s="23">
        <f t="shared" si="2"/>
        <v>0</v>
      </c>
      <c r="Q25" s="109"/>
      <c r="R25" s="104"/>
      <c r="S25" s="5"/>
      <c r="T25" s="5"/>
      <c r="U25" s="5"/>
      <c r="V25" s="5"/>
      <c r="W25" s="5"/>
      <c r="X25" s="5"/>
    </row>
    <row r="26" spans="1:24" ht="24" x14ac:dyDescent="0.3">
      <c r="A26" s="5"/>
      <c r="B26" s="130"/>
      <c r="C26" s="25" t="s">
        <v>40</v>
      </c>
      <c r="D26" s="133" t="s">
        <v>118</v>
      </c>
      <c r="E26" s="133"/>
      <c r="F26" s="26" t="s">
        <v>15</v>
      </c>
      <c r="G26" s="27">
        <f t="shared" si="0"/>
        <v>10</v>
      </c>
      <c r="H26" s="28" t="s">
        <v>180</v>
      </c>
      <c r="I26" s="29"/>
      <c r="J26" s="23">
        <f t="shared" si="1"/>
        <v>0</v>
      </c>
      <c r="K26" s="30"/>
      <c r="L26" s="30"/>
      <c r="M26" s="30" t="str">
        <f>IF(OR(I26="취약",I26="수동점검"),대응방안!G18,"-")</f>
        <v>-</v>
      </c>
      <c r="N26" s="30"/>
      <c r="O26" s="114"/>
      <c r="P26" s="117">
        <f t="shared" si="2"/>
        <v>0</v>
      </c>
      <c r="Q26" s="110"/>
      <c r="R26" s="105"/>
      <c r="S26" s="5"/>
      <c r="T26" s="5"/>
      <c r="U26" s="5"/>
      <c r="V26" s="5"/>
      <c r="W26" s="5"/>
      <c r="X26" s="5"/>
    </row>
    <row r="27" spans="1:24" ht="24" x14ac:dyDescent="0.3">
      <c r="A27" s="5"/>
      <c r="B27" s="130"/>
      <c r="C27" s="25" t="s">
        <v>41</v>
      </c>
      <c r="D27" s="133" t="s">
        <v>119</v>
      </c>
      <c r="E27" s="133"/>
      <c r="F27" s="26" t="s">
        <v>15</v>
      </c>
      <c r="G27" s="27">
        <f t="shared" si="0"/>
        <v>10</v>
      </c>
      <c r="H27" s="28" t="s">
        <v>191</v>
      </c>
      <c r="I27" s="29"/>
      <c r="J27" s="23">
        <f t="shared" si="1"/>
        <v>0</v>
      </c>
      <c r="K27" s="36"/>
      <c r="L27" s="30"/>
      <c r="M27" s="30" t="str">
        <f>IF(OR(I27="취약",I27="수동점검"),대응방안!G19,"-")</f>
        <v>-</v>
      </c>
      <c r="N27" s="30"/>
      <c r="O27" s="114"/>
      <c r="P27" s="117">
        <f t="shared" si="2"/>
        <v>0</v>
      </c>
      <c r="Q27" s="110"/>
      <c r="R27" s="105"/>
      <c r="S27" s="5"/>
      <c r="T27" s="5"/>
      <c r="U27" s="5"/>
      <c r="V27" s="5"/>
      <c r="W27" s="5"/>
      <c r="X27" s="5"/>
    </row>
    <row r="28" spans="1:24" ht="48" x14ac:dyDescent="0.3">
      <c r="A28" s="5"/>
      <c r="B28" s="130"/>
      <c r="C28" s="25" t="s">
        <v>42</v>
      </c>
      <c r="D28" s="133" t="s">
        <v>120</v>
      </c>
      <c r="E28" s="133"/>
      <c r="F28" s="26" t="s">
        <v>15</v>
      </c>
      <c r="G28" s="27">
        <f t="shared" si="0"/>
        <v>10</v>
      </c>
      <c r="H28" s="28" t="s">
        <v>192</v>
      </c>
      <c r="I28" s="29"/>
      <c r="J28" s="23">
        <f t="shared" si="1"/>
        <v>0</v>
      </c>
      <c r="K28" s="37"/>
      <c r="L28" s="30"/>
      <c r="M28" s="30" t="str">
        <f>IF(OR(I28="취약",I28="수동점검"),대응방안!G20,"-")</f>
        <v>-</v>
      </c>
      <c r="N28" s="30"/>
      <c r="O28" s="114"/>
      <c r="P28" s="117">
        <f t="shared" si="2"/>
        <v>0</v>
      </c>
      <c r="Q28" s="110"/>
      <c r="R28" s="105"/>
      <c r="S28" s="5"/>
      <c r="T28" s="5"/>
      <c r="U28" s="5"/>
      <c r="V28" s="5"/>
      <c r="W28" s="5"/>
      <c r="X28" s="5"/>
    </row>
    <row r="29" spans="1:24" ht="24" x14ac:dyDescent="0.3">
      <c r="A29" s="5"/>
      <c r="B29" s="130"/>
      <c r="C29" s="25" t="s">
        <v>43</v>
      </c>
      <c r="D29" s="133" t="s">
        <v>121</v>
      </c>
      <c r="E29" s="133"/>
      <c r="F29" s="26" t="s">
        <v>15</v>
      </c>
      <c r="G29" s="27">
        <f t="shared" si="0"/>
        <v>10</v>
      </c>
      <c r="H29" s="28" t="s">
        <v>193</v>
      </c>
      <c r="I29" s="29"/>
      <c r="J29" s="23">
        <f t="shared" si="1"/>
        <v>0</v>
      </c>
      <c r="K29" s="30"/>
      <c r="L29" s="30"/>
      <c r="M29" s="30" t="str">
        <f>IF(OR(I29="취약",I29="수동점검"),대응방안!G21,"-")</f>
        <v>-</v>
      </c>
      <c r="N29" s="30"/>
      <c r="O29" s="114"/>
      <c r="P29" s="117">
        <f t="shared" si="2"/>
        <v>0</v>
      </c>
      <c r="Q29" s="110"/>
      <c r="R29" s="105"/>
      <c r="S29" s="5"/>
      <c r="T29" s="5"/>
      <c r="U29" s="5"/>
      <c r="V29" s="5"/>
      <c r="W29" s="5"/>
      <c r="X29" s="5"/>
    </row>
    <row r="30" spans="1:24" ht="24" x14ac:dyDescent="0.3">
      <c r="A30" s="5"/>
      <c r="B30" s="130"/>
      <c r="C30" s="25" t="s">
        <v>44</v>
      </c>
      <c r="D30" s="133" t="s">
        <v>122</v>
      </c>
      <c r="E30" s="133"/>
      <c r="F30" s="26" t="s">
        <v>15</v>
      </c>
      <c r="G30" s="27">
        <f t="shared" si="0"/>
        <v>10</v>
      </c>
      <c r="H30" s="28" t="s">
        <v>194</v>
      </c>
      <c r="I30" s="29"/>
      <c r="J30" s="23">
        <f t="shared" si="1"/>
        <v>0</v>
      </c>
      <c r="K30" s="37"/>
      <c r="L30" s="30"/>
      <c r="M30" s="30" t="str">
        <f>IF(OR(I30="취약",I30="수동점검"),대응방안!G22,"-")</f>
        <v>-</v>
      </c>
      <c r="N30" s="30"/>
      <c r="O30" s="114"/>
      <c r="P30" s="117">
        <f t="shared" si="2"/>
        <v>0</v>
      </c>
      <c r="Q30" s="110"/>
      <c r="R30" s="105"/>
      <c r="S30" s="5"/>
      <c r="T30" s="5"/>
      <c r="U30" s="5"/>
      <c r="V30" s="5"/>
      <c r="W30" s="5"/>
      <c r="X30" s="5"/>
    </row>
    <row r="31" spans="1:24" ht="24" x14ac:dyDescent="0.3">
      <c r="A31" s="5"/>
      <c r="B31" s="130"/>
      <c r="C31" s="25" t="s">
        <v>45</v>
      </c>
      <c r="D31" s="133" t="s">
        <v>123</v>
      </c>
      <c r="E31" s="133"/>
      <c r="F31" s="26" t="s">
        <v>15</v>
      </c>
      <c r="G31" s="27">
        <f t="shared" si="0"/>
        <v>10</v>
      </c>
      <c r="H31" s="28" t="s">
        <v>195</v>
      </c>
      <c r="I31" s="29"/>
      <c r="J31" s="23">
        <f t="shared" si="1"/>
        <v>0</v>
      </c>
      <c r="K31" s="30"/>
      <c r="L31" s="30"/>
      <c r="M31" s="30" t="str">
        <f>IF(OR(I31="취약",I31="수동점검"),대응방안!G23,"-")</f>
        <v>-</v>
      </c>
      <c r="N31" s="30"/>
      <c r="O31" s="114"/>
      <c r="P31" s="117">
        <f t="shared" si="2"/>
        <v>0</v>
      </c>
      <c r="Q31" s="110"/>
      <c r="R31" s="105"/>
      <c r="S31" s="5"/>
      <c r="T31" s="5"/>
      <c r="U31" s="5"/>
      <c r="V31" s="5"/>
      <c r="W31" s="5"/>
      <c r="X31" s="5"/>
    </row>
    <row r="32" spans="1:24" ht="36" x14ac:dyDescent="0.3">
      <c r="A32" s="5"/>
      <c r="B32" s="130"/>
      <c r="C32" s="25" t="s">
        <v>46</v>
      </c>
      <c r="D32" s="133" t="s">
        <v>124</v>
      </c>
      <c r="E32" s="133"/>
      <c r="F32" s="26" t="s">
        <v>15</v>
      </c>
      <c r="G32" s="27">
        <f t="shared" si="0"/>
        <v>10</v>
      </c>
      <c r="H32" s="28" t="s">
        <v>196</v>
      </c>
      <c r="I32" s="29"/>
      <c r="J32" s="23">
        <f t="shared" si="1"/>
        <v>0</v>
      </c>
      <c r="K32" s="37"/>
      <c r="L32" s="30"/>
      <c r="M32" s="30" t="str">
        <f>IF(OR(I32="취약",I32="수동점검"),대응방안!G24,"-")</f>
        <v>-</v>
      </c>
      <c r="N32" s="30"/>
      <c r="O32" s="114"/>
      <c r="P32" s="117">
        <f t="shared" si="2"/>
        <v>0</v>
      </c>
      <c r="Q32" s="110"/>
      <c r="R32" s="105"/>
      <c r="S32" s="5"/>
      <c r="T32" s="5"/>
      <c r="U32" s="5"/>
      <c r="V32" s="5"/>
      <c r="W32" s="5"/>
      <c r="X32" s="5"/>
    </row>
    <row r="33" spans="1:24" ht="36" x14ac:dyDescent="0.3">
      <c r="A33" s="5"/>
      <c r="B33" s="130"/>
      <c r="C33" s="25" t="s">
        <v>47</v>
      </c>
      <c r="D33" s="133" t="s">
        <v>125</v>
      </c>
      <c r="E33" s="133"/>
      <c r="F33" s="26" t="s">
        <v>15</v>
      </c>
      <c r="G33" s="27">
        <f t="shared" si="0"/>
        <v>10</v>
      </c>
      <c r="H33" s="28" t="s">
        <v>197</v>
      </c>
      <c r="I33" s="29"/>
      <c r="J33" s="23">
        <f t="shared" si="1"/>
        <v>0</v>
      </c>
      <c r="K33" s="30"/>
      <c r="L33" s="30"/>
      <c r="M33" s="30" t="str">
        <f>IF(OR(I33="취약",I33="수동점검"),대응방안!G25,"-")</f>
        <v>-</v>
      </c>
      <c r="N33" s="30"/>
      <c r="O33" s="114"/>
      <c r="P33" s="117">
        <f t="shared" si="2"/>
        <v>0</v>
      </c>
      <c r="Q33" s="110"/>
      <c r="R33" s="105"/>
      <c r="S33" s="5"/>
      <c r="T33" s="5"/>
      <c r="U33" s="5"/>
      <c r="V33" s="5"/>
      <c r="W33" s="5"/>
      <c r="X33" s="5"/>
    </row>
    <row r="34" spans="1:24" ht="24" x14ac:dyDescent="0.3">
      <c r="A34" s="5"/>
      <c r="B34" s="130"/>
      <c r="C34" s="25" t="s">
        <v>48</v>
      </c>
      <c r="D34" s="133" t="s">
        <v>126</v>
      </c>
      <c r="E34" s="133"/>
      <c r="F34" s="26" t="s">
        <v>15</v>
      </c>
      <c r="G34" s="27">
        <f t="shared" si="0"/>
        <v>10</v>
      </c>
      <c r="H34" s="28" t="s">
        <v>198</v>
      </c>
      <c r="I34" s="29"/>
      <c r="J34" s="23">
        <f t="shared" si="1"/>
        <v>0</v>
      </c>
      <c r="K34" s="37"/>
      <c r="L34" s="30"/>
      <c r="M34" s="30" t="str">
        <f>IF(OR(I34="취약",I34="수동점검"),대응방안!G26,"-")</f>
        <v>-</v>
      </c>
      <c r="N34" s="30"/>
      <c r="O34" s="114"/>
      <c r="P34" s="117">
        <f t="shared" si="2"/>
        <v>0</v>
      </c>
      <c r="Q34" s="110"/>
      <c r="R34" s="105"/>
      <c r="S34" s="5"/>
      <c r="T34" s="5"/>
      <c r="U34" s="5"/>
      <c r="V34" s="5"/>
      <c r="W34" s="5"/>
      <c r="X34" s="5"/>
    </row>
    <row r="35" spans="1:24" ht="48" x14ac:dyDescent="0.3">
      <c r="A35" s="5"/>
      <c r="B35" s="130"/>
      <c r="C35" s="25" t="s">
        <v>49</v>
      </c>
      <c r="D35" s="133" t="s">
        <v>127</v>
      </c>
      <c r="E35" s="133"/>
      <c r="F35" s="26" t="s">
        <v>15</v>
      </c>
      <c r="G35" s="27">
        <f t="shared" si="0"/>
        <v>10</v>
      </c>
      <c r="H35" s="28" t="s">
        <v>199</v>
      </c>
      <c r="I35" s="29"/>
      <c r="J35" s="23">
        <f t="shared" si="1"/>
        <v>0</v>
      </c>
      <c r="K35" s="30"/>
      <c r="L35" s="30"/>
      <c r="M35" s="30" t="str">
        <f>IF(OR(I35="취약",I35="수동점검"),대응방안!G27,"-")</f>
        <v>-</v>
      </c>
      <c r="N35" s="30"/>
      <c r="O35" s="114"/>
      <c r="P35" s="117">
        <f t="shared" si="2"/>
        <v>0</v>
      </c>
      <c r="Q35" s="110"/>
      <c r="R35" s="105"/>
      <c r="S35" s="5"/>
      <c r="T35" s="5"/>
      <c r="U35" s="5"/>
      <c r="V35" s="5"/>
      <c r="W35" s="5"/>
      <c r="X35" s="5"/>
    </row>
    <row r="36" spans="1:24" ht="24" x14ac:dyDescent="0.3">
      <c r="A36" s="5"/>
      <c r="B36" s="130"/>
      <c r="C36" s="25" t="s">
        <v>50</v>
      </c>
      <c r="D36" s="133" t="s">
        <v>128</v>
      </c>
      <c r="E36" s="133"/>
      <c r="F36" s="26" t="s">
        <v>15</v>
      </c>
      <c r="G36" s="27">
        <f t="shared" si="0"/>
        <v>10</v>
      </c>
      <c r="H36" s="28" t="s">
        <v>200</v>
      </c>
      <c r="I36" s="29"/>
      <c r="J36" s="23">
        <f t="shared" si="1"/>
        <v>0</v>
      </c>
      <c r="K36" s="30"/>
      <c r="L36" s="30"/>
      <c r="M36" s="30" t="str">
        <f>IF(OR(I36="취약",I36="수동점검"),대응방안!G28,"-")</f>
        <v>-</v>
      </c>
      <c r="N36" s="30"/>
      <c r="O36" s="114"/>
      <c r="P36" s="117">
        <f t="shared" si="2"/>
        <v>0</v>
      </c>
      <c r="Q36" s="110"/>
      <c r="R36" s="105"/>
      <c r="S36" s="5"/>
      <c r="T36" s="5"/>
      <c r="U36" s="5"/>
      <c r="V36" s="5"/>
      <c r="W36" s="5"/>
      <c r="X36" s="5"/>
    </row>
    <row r="37" spans="1:24" ht="24" x14ac:dyDescent="0.3">
      <c r="A37" s="5"/>
      <c r="B37" s="130"/>
      <c r="C37" s="25" t="s">
        <v>51</v>
      </c>
      <c r="D37" s="133" t="s">
        <v>129</v>
      </c>
      <c r="E37" s="133"/>
      <c r="F37" s="26" t="s">
        <v>15</v>
      </c>
      <c r="G37" s="27">
        <f t="shared" si="0"/>
        <v>10</v>
      </c>
      <c r="H37" s="28" t="s">
        <v>201</v>
      </c>
      <c r="I37" s="29"/>
      <c r="J37" s="23">
        <f t="shared" si="1"/>
        <v>0</v>
      </c>
      <c r="K37" s="30"/>
      <c r="L37" s="30"/>
      <c r="M37" s="30" t="str">
        <f>IF(OR(I37="취약",I37="수동점검"),대응방안!G29,"-")</f>
        <v>-</v>
      </c>
      <c r="N37" s="30"/>
      <c r="O37" s="114"/>
      <c r="P37" s="117">
        <f t="shared" si="2"/>
        <v>0</v>
      </c>
      <c r="Q37" s="110"/>
      <c r="R37" s="105"/>
      <c r="S37" s="5"/>
      <c r="T37" s="5"/>
      <c r="U37" s="5"/>
      <c r="V37" s="5"/>
      <c r="W37" s="5"/>
      <c r="X37" s="5"/>
    </row>
    <row r="38" spans="1:24" ht="96" x14ac:dyDescent="0.3">
      <c r="A38" s="5"/>
      <c r="B38" s="130"/>
      <c r="C38" s="25" t="s">
        <v>52</v>
      </c>
      <c r="D38" s="133" t="s">
        <v>130</v>
      </c>
      <c r="E38" s="133"/>
      <c r="F38" s="26" t="s">
        <v>15</v>
      </c>
      <c r="G38" s="27">
        <f t="shared" si="0"/>
        <v>10</v>
      </c>
      <c r="H38" s="28" t="s">
        <v>202</v>
      </c>
      <c r="I38" s="29"/>
      <c r="J38" s="23">
        <f t="shared" si="1"/>
        <v>0</v>
      </c>
      <c r="K38" s="30"/>
      <c r="L38" s="30"/>
      <c r="M38" s="30" t="str">
        <f>IF(OR(I38="취약",I38="수동점검"),대응방안!G30,"-")</f>
        <v>-</v>
      </c>
      <c r="N38" s="30"/>
      <c r="O38" s="114"/>
      <c r="P38" s="117">
        <f t="shared" si="2"/>
        <v>0</v>
      </c>
      <c r="Q38" s="110"/>
      <c r="R38" s="105"/>
      <c r="S38" s="5"/>
      <c r="T38" s="5"/>
      <c r="U38" s="5"/>
      <c r="V38" s="5"/>
      <c r="W38" s="5"/>
      <c r="X38" s="5"/>
    </row>
    <row r="39" spans="1:24" ht="24" x14ac:dyDescent="0.3">
      <c r="A39" s="5"/>
      <c r="B39" s="130"/>
      <c r="C39" s="25" t="s">
        <v>53</v>
      </c>
      <c r="D39" s="133" t="s">
        <v>131</v>
      </c>
      <c r="E39" s="133"/>
      <c r="F39" s="26" t="s">
        <v>15</v>
      </c>
      <c r="G39" s="27">
        <f t="shared" si="0"/>
        <v>10</v>
      </c>
      <c r="H39" s="28" t="s">
        <v>203</v>
      </c>
      <c r="I39" s="29"/>
      <c r="J39" s="23">
        <f t="shared" si="1"/>
        <v>0</v>
      </c>
      <c r="K39" s="30"/>
      <c r="L39" s="30"/>
      <c r="M39" s="30" t="str">
        <f>IF(OR(I39="취약",I39="수동점검"),대응방안!G31,"-")</f>
        <v>-</v>
      </c>
      <c r="N39" s="30"/>
      <c r="O39" s="114"/>
      <c r="P39" s="117">
        <f t="shared" si="2"/>
        <v>0</v>
      </c>
      <c r="Q39" s="110"/>
      <c r="R39" s="105"/>
      <c r="S39" s="5"/>
      <c r="T39" s="5"/>
      <c r="U39" s="5"/>
      <c r="V39" s="5"/>
      <c r="W39" s="5"/>
      <c r="X39" s="5"/>
    </row>
    <row r="40" spans="1:24" ht="48" x14ac:dyDescent="0.3">
      <c r="A40" s="5"/>
      <c r="B40" s="130"/>
      <c r="C40" s="25" t="s">
        <v>54</v>
      </c>
      <c r="D40" s="133" t="s">
        <v>132</v>
      </c>
      <c r="E40" s="133"/>
      <c r="F40" s="26" t="s">
        <v>17</v>
      </c>
      <c r="G40" s="27">
        <f t="shared" si="0"/>
        <v>6</v>
      </c>
      <c r="H40" s="28" t="s">
        <v>204</v>
      </c>
      <c r="I40" s="29"/>
      <c r="J40" s="23">
        <f t="shared" si="1"/>
        <v>0</v>
      </c>
      <c r="K40" s="30"/>
      <c r="L40" s="30"/>
      <c r="M40" s="30" t="str">
        <f>IF(OR(I40="취약",I40="수동점검"),대응방안!G32,"-")</f>
        <v>-</v>
      </c>
      <c r="N40" s="30"/>
      <c r="O40" s="114"/>
      <c r="P40" s="117">
        <f t="shared" si="2"/>
        <v>0</v>
      </c>
      <c r="Q40" s="110"/>
      <c r="R40" s="105"/>
      <c r="S40" s="5"/>
      <c r="T40" s="5"/>
      <c r="U40" s="5"/>
      <c r="V40" s="5"/>
      <c r="W40" s="5"/>
      <c r="X40" s="5"/>
    </row>
    <row r="41" spans="1:24" ht="24" x14ac:dyDescent="0.3">
      <c r="A41" s="5"/>
      <c r="B41" s="130"/>
      <c r="C41" s="25" t="s">
        <v>55</v>
      </c>
      <c r="D41" s="133" t="s">
        <v>133</v>
      </c>
      <c r="E41" s="133"/>
      <c r="F41" s="26" t="s">
        <v>16</v>
      </c>
      <c r="G41" s="27">
        <f t="shared" si="0"/>
        <v>8</v>
      </c>
      <c r="H41" s="28" t="s">
        <v>205</v>
      </c>
      <c r="I41" s="29"/>
      <c r="J41" s="23">
        <f t="shared" si="1"/>
        <v>0</v>
      </c>
      <c r="K41" s="30"/>
      <c r="L41" s="30"/>
      <c r="M41" s="30" t="str">
        <f>IF(OR(I41="취약",I41="수동점검"),대응방안!G33,"-")</f>
        <v>-</v>
      </c>
      <c r="N41" s="30"/>
      <c r="O41" s="114"/>
      <c r="P41" s="117">
        <f t="shared" si="2"/>
        <v>0</v>
      </c>
      <c r="Q41" s="110"/>
      <c r="R41" s="105"/>
      <c r="S41" s="5"/>
      <c r="T41" s="5"/>
      <c r="U41" s="5"/>
      <c r="V41" s="5"/>
      <c r="W41" s="5"/>
      <c r="X41" s="5"/>
    </row>
    <row r="42" spans="1:24" ht="24" x14ac:dyDescent="0.3">
      <c r="A42" s="5"/>
      <c r="B42" s="130"/>
      <c r="C42" s="25" t="s">
        <v>56</v>
      </c>
      <c r="D42" s="133" t="s">
        <v>134</v>
      </c>
      <c r="E42" s="133"/>
      <c r="F42" s="26" t="s">
        <v>16</v>
      </c>
      <c r="G42" s="27">
        <f t="shared" si="0"/>
        <v>8</v>
      </c>
      <c r="H42" s="28" t="s">
        <v>206</v>
      </c>
      <c r="I42" s="29"/>
      <c r="J42" s="23">
        <f t="shared" si="1"/>
        <v>0</v>
      </c>
      <c r="K42" s="30"/>
      <c r="L42" s="30"/>
      <c r="M42" s="30" t="str">
        <f>IF(OR(I42="취약",I42="수동점검"),대응방안!G34,"-")</f>
        <v>-</v>
      </c>
      <c r="N42" s="30"/>
      <c r="O42" s="114"/>
      <c r="P42" s="117">
        <f t="shared" si="2"/>
        <v>0</v>
      </c>
      <c r="Q42" s="110"/>
      <c r="R42" s="105"/>
      <c r="S42" s="5"/>
      <c r="T42" s="5"/>
      <c r="U42" s="5"/>
      <c r="V42" s="5"/>
      <c r="W42" s="5"/>
      <c r="X42" s="5"/>
    </row>
    <row r="43" spans="1:24" ht="24" x14ac:dyDescent="0.3">
      <c r="A43" s="5"/>
      <c r="B43" s="130"/>
      <c r="C43" s="25" t="s">
        <v>57</v>
      </c>
      <c r="D43" s="133" t="s">
        <v>135</v>
      </c>
      <c r="E43" s="133"/>
      <c r="F43" s="26" t="s">
        <v>16</v>
      </c>
      <c r="G43" s="27">
        <f t="shared" si="0"/>
        <v>8</v>
      </c>
      <c r="H43" s="28" t="s">
        <v>207</v>
      </c>
      <c r="I43" s="29"/>
      <c r="J43" s="23">
        <f t="shared" si="1"/>
        <v>0</v>
      </c>
      <c r="K43" s="30"/>
      <c r="L43" s="30"/>
      <c r="M43" s="30" t="str">
        <f>IF(OR(I43="취약",I43="수동점검"),대응방안!G35,"-")</f>
        <v>-</v>
      </c>
      <c r="N43" s="30"/>
      <c r="O43" s="114"/>
      <c r="P43" s="117">
        <f t="shared" si="2"/>
        <v>0</v>
      </c>
      <c r="Q43" s="110"/>
      <c r="R43" s="105"/>
      <c r="S43" s="5"/>
      <c r="T43" s="5"/>
      <c r="U43" s="5"/>
      <c r="V43" s="5"/>
      <c r="W43" s="5"/>
      <c r="X43" s="5"/>
    </row>
    <row r="44" spans="1:24" ht="24" x14ac:dyDescent="0.3">
      <c r="A44" s="5"/>
      <c r="B44" s="131"/>
      <c r="C44" s="31" t="s">
        <v>58</v>
      </c>
      <c r="D44" s="134" t="s">
        <v>136</v>
      </c>
      <c r="E44" s="134"/>
      <c r="F44" s="32" t="s">
        <v>17</v>
      </c>
      <c r="G44" s="27">
        <f t="shared" si="0"/>
        <v>6</v>
      </c>
      <c r="H44" s="33" t="s">
        <v>208</v>
      </c>
      <c r="I44" s="34"/>
      <c r="J44" s="23">
        <f t="shared" si="1"/>
        <v>0</v>
      </c>
      <c r="K44" s="35"/>
      <c r="L44" s="35"/>
      <c r="M44" s="35" t="str">
        <f>IF(OR(I44="취약",I44="수동점검"),대응방안!G36,"-")</f>
        <v>-</v>
      </c>
      <c r="N44" s="35"/>
      <c r="O44" s="115"/>
      <c r="P44" s="118">
        <f t="shared" si="2"/>
        <v>0</v>
      </c>
      <c r="Q44" s="111"/>
      <c r="R44" s="106"/>
      <c r="S44" s="5"/>
      <c r="T44" s="5"/>
      <c r="U44" s="5"/>
      <c r="V44" s="5"/>
      <c r="W44" s="5"/>
      <c r="X44" s="5"/>
    </row>
    <row r="45" spans="1:24" ht="24" x14ac:dyDescent="0.3">
      <c r="A45" s="5"/>
      <c r="B45" s="129" t="s">
        <v>19</v>
      </c>
      <c r="C45" s="18" t="s">
        <v>59</v>
      </c>
      <c r="D45" s="132" t="s">
        <v>137</v>
      </c>
      <c r="E45" s="132"/>
      <c r="F45" s="19" t="s">
        <v>15</v>
      </c>
      <c r="G45" s="27">
        <f t="shared" si="0"/>
        <v>10</v>
      </c>
      <c r="H45" s="21" t="s">
        <v>209</v>
      </c>
      <c r="I45" s="22"/>
      <c r="J45" s="23">
        <f t="shared" si="1"/>
        <v>0</v>
      </c>
      <c r="K45" s="24"/>
      <c r="L45" s="24"/>
      <c r="M45" s="24" t="str">
        <f>IF(OR(I45="취약",I45="수동점검"),대응방안!G37,"-")</f>
        <v>-</v>
      </c>
      <c r="N45" s="24"/>
      <c r="O45" s="113"/>
      <c r="P45" s="23">
        <f t="shared" si="2"/>
        <v>0</v>
      </c>
      <c r="Q45" s="109"/>
      <c r="R45" s="104"/>
      <c r="S45" s="5"/>
      <c r="T45" s="5"/>
      <c r="U45" s="5"/>
      <c r="V45" s="5"/>
      <c r="W45" s="5"/>
      <c r="X45" s="5"/>
    </row>
    <row r="46" spans="1:24" ht="24" x14ac:dyDescent="0.3">
      <c r="A46" s="5"/>
      <c r="B46" s="130"/>
      <c r="C46" s="25" t="s">
        <v>60</v>
      </c>
      <c r="D46" s="133" t="s">
        <v>138</v>
      </c>
      <c r="E46" s="133"/>
      <c r="F46" s="26" t="s">
        <v>15</v>
      </c>
      <c r="G46" s="27">
        <f t="shared" si="0"/>
        <v>10</v>
      </c>
      <c r="H46" s="28" t="s">
        <v>210</v>
      </c>
      <c r="I46" s="29"/>
      <c r="J46" s="23">
        <f t="shared" si="1"/>
        <v>0</v>
      </c>
      <c r="K46" s="30"/>
      <c r="L46" s="30"/>
      <c r="M46" s="30" t="str">
        <f>IF(OR(I46="취약",I46="수동점검"),대응방안!G38,"-")</f>
        <v>-</v>
      </c>
      <c r="N46" s="30"/>
      <c r="O46" s="114"/>
      <c r="P46" s="117">
        <f t="shared" si="2"/>
        <v>0</v>
      </c>
      <c r="Q46" s="110"/>
      <c r="R46" s="105"/>
      <c r="S46" s="5"/>
      <c r="T46" s="5"/>
      <c r="U46" s="5"/>
      <c r="V46" s="5"/>
      <c r="W46" s="5"/>
      <c r="X46" s="5"/>
    </row>
    <row r="47" spans="1:24" ht="24" x14ac:dyDescent="0.3">
      <c r="A47" s="5"/>
      <c r="B47" s="130"/>
      <c r="C47" s="25" t="s">
        <v>61</v>
      </c>
      <c r="D47" s="133" t="s">
        <v>139</v>
      </c>
      <c r="E47" s="133"/>
      <c r="F47" s="26" t="s">
        <v>15</v>
      </c>
      <c r="G47" s="27">
        <f t="shared" si="0"/>
        <v>10</v>
      </c>
      <c r="H47" s="28" t="s">
        <v>211</v>
      </c>
      <c r="I47" s="29"/>
      <c r="J47" s="23">
        <f t="shared" si="1"/>
        <v>0</v>
      </c>
      <c r="K47" s="30"/>
      <c r="L47" s="30"/>
      <c r="M47" s="30" t="str">
        <f>IF(OR(I47="취약",I47="수동점검"),대응방안!G39,"-")</f>
        <v>-</v>
      </c>
      <c r="N47" s="30"/>
      <c r="O47" s="114"/>
      <c r="P47" s="117">
        <f t="shared" si="2"/>
        <v>0</v>
      </c>
      <c r="Q47" s="110"/>
      <c r="R47" s="105"/>
      <c r="S47" s="5"/>
      <c r="T47" s="5"/>
      <c r="U47" s="5"/>
      <c r="V47" s="5"/>
      <c r="W47" s="5"/>
      <c r="X47" s="5"/>
    </row>
    <row r="48" spans="1:24" ht="48" x14ac:dyDescent="0.3">
      <c r="A48" s="5"/>
      <c r="B48" s="130"/>
      <c r="C48" s="25" t="s">
        <v>62</v>
      </c>
      <c r="D48" s="133" t="s">
        <v>140</v>
      </c>
      <c r="E48" s="133"/>
      <c r="F48" s="26" t="s">
        <v>15</v>
      </c>
      <c r="G48" s="27">
        <f t="shared" si="0"/>
        <v>10</v>
      </c>
      <c r="H48" s="28" t="s">
        <v>212</v>
      </c>
      <c r="I48" s="29"/>
      <c r="J48" s="23">
        <f t="shared" si="1"/>
        <v>0</v>
      </c>
      <c r="K48" s="30"/>
      <c r="L48" s="30"/>
      <c r="M48" s="30" t="str">
        <f>IF(OR(I48="취약",I48="수동점검"),대응방안!G40,"-")</f>
        <v>-</v>
      </c>
      <c r="N48" s="30"/>
      <c r="O48" s="114"/>
      <c r="P48" s="117">
        <f t="shared" si="2"/>
        <v>0</v>
      </c>
      <c r="Q48" s="110"/>
      <c r="R48" s="105"/>
      <c r="S48" s="5"/>
      <c r="T48" s="5"/>
      <c r="U48" s="5"/>
      <c r="V48" s="5"/>
      <c r="W48" s="5"/>
      <c r="X48" s="5"/>
    </row>
    <row r="49" spans="1:24" ht="24" x14ac:dyDescent="0.3">
      <c r="A49" s="5"/>
      <c r="B49" s="130"/>
      <c r="C49" s="25" t="s">
        <v>63</v>
      </c>
      <c r="D49" s="133" t="s">
        <v>141</v>
      </c>
      <c r="E49" s="133"/>
      <c r="F49" s="26" t="s">
        <v>15</v>
      </c>
      <c r="G49" s="27">
        <f t="shared" si="0"/>
        <v>10</v>
      </c>
      <c r="H49" s="28" t="s">
        <v>213</v>
      </c>
      <c r="I49" s="29"/>
      <c r="J49" s="23">
        <f t="shared" si="1"/>
        <v>0</v>
      </c>
      <c r="K49" s="30"/>
      <c r="L49" s="30"/>
      <c r="M49" s="30" t="str">
        <f>IF(OR(I49="취약",I49="수동점검"),대응방안!G41,"-")</f>
        <v>-</v>
      </c>
      <c r="N49" s="30"/>
      <c r="O49" s="114"/>
      <c r="P49" s="117">
        <f t="shared" si="2"/>
        <v>0</v>
      </c>
      <c r="Q49" s="110"/>
      <c r="R49" s="105"/>
      <c r="S49" s="5"/>
      <c r="T49" s="5"/>
      <c r="U49" s="5"/>
      <c r="V49" s="5"/>
      <c r="W49" s="5"/>
      <c r="X49" s="5"/>
    </row>
    <row r="50" spans="1:24" ht="24" x14ac:dyDescent="0.3">
      <c r="A50" s="5"/>
      <c r="B50" s="130"/>
      <c r="C50" s="25" t="s">
        <v>64</v>
      </c>
      <c r="D50" s="133" t="s">
        <v>142</v>
      </c>
      <c r="E50" s="133"/>
      <c r="F50" s="26" t="s">
        <v>15</v>
      </c>
      <c r="G50" s="27">
        <f t="shared" si="0"/>
        <v>10</v>
      </c>
      <c r="H50" s="28" t="s">
        <v>143</v>
      </c>
      <c r="I50" s="29"/>
      <c r="J50" s="23">
        <f t="shared" si="1"/>
        <v>0</v>
      </c>
      <c r="K50" s="30"/>
      <c r="L50" s="30"/>
      <c r="M50" s="30" t="str">
        <f>IF(OR(I50="취약",I50="수동점검"),대응방안!G42,"-")</f>
        <v>-</v>
      </c>
      <c r="N50" s="30"/>
      <c r="O50" s="114"/>
      <c r="P50" s="117">
        <f t="shared" si="2"/>
        <v>0</v>
      </c>
      <c r="Q50" s="110"/>
      <c r="R50" s="105"/>
      <c r="S50" s="5"/>
      <c r="T50" s="5"/>
      <c r="U50" s="5"/>
      <c r="V50" s="5"/>
      <c r="W50" s="5"/>
      <c r="X50" s="5"/>
    </row>
    <row r="51" spans="1:24" ht="24" x14ac:dyDescent="0.3">
      <c r="A51" s="5"/>
      <c r="B51" s="130"/>
      <c r="C51" s="25" t="s">
        <v>65</v>
      </c>
      <c r="D51" s="133" t="s">
        <v>144</v>
      </c>
      <c r="E51" s="133"/>
      <c r="F51" s="26" t="s">
        <v>15</v>
      </c>
      <c r="G51" s="27">
        <f t="shared" si="0"/>
        <v>10</v>
      </c>
      <c r="H51" s="28" t="s">
        <v>214</v>
      </c>
      <c r="I51" s="29"/>
      <c r="J51" s="23">
        <f t="shared" si="1"/>
        <v>0</v>
      </c>
      <c r="K51" s="30"/>
      <c r="L51" s="30"/>
      <c r="M51" s="30" t="str">
        <f>IF(OR(I51="취약",I51="수동점검"),대응방안!G43,"-")</f>
        <v>-</v>
      </c>
      <c r="N51" s="30"/>
      <c r="O51" s="114"/>
      <c r="P51" s="117">
        <f t="shared" si="2"/>
        <v>0</v>
      </c>
      <c r="Q51" s="110"/>
      <c r="R51" s="105"/>
      <c r="S51" s="5"/>
      <c r="T51" s="5"/>
      <c r="U51" s="5"/>
      <c r="V51" s="5"/>
      <c r="W51" s="5"/>
      <c r="X51" s="5"/>
    </row>
    <row r="52" spans="1:24" ht="24" x14ac:dyDescent="0.3">
      <c r="A52" s="5"/>
      <c r="B52" s="130"/>
      <c r="C52" s="25" t="s">
        <v>66</v>
      </c>
      <c r="D52" s="133" t="s">
        <v>145</v>
      </c>
      <c r="E52" s="133"/>
      <c r="F52" s="26" t="s">
        <v>15</v>
      </c>
      <c r="G52" s="27">
        <f t="shared" si="0"/>
        <v>10</v>
      </c>
      <c r="H52" s="28" t="s">
        <v>215</v>
      </c>
      <c r="I52" s="29"/>
      <c r="J52" s="23">
        <f t="shared" si="1"/>
        <v>0</v>
      </c>
      <c r="K52" s="30"/>
      <c r="L52" s="30"/>
      <c r="M52" s="30" t="str">
        <f>IF(OR(I52="취약",I52="수동점검"),대응방안!G44,"-")</f>
        <v>-</v>
      </c>
      <c r="N52" s="30"/>
      <c r="O52" s="114"/>
      <c r="P52" s="117">
        <f t="shared" si="2"/>
        <v>0</v>
      </c>
      <c r="Q52" s="110"/>
      <c r="R52" s="105"/>
      <c r="S52" s="5"/>
      <c r="T52" s="5"/>
      <c r="U52" s="5"/>
      <c r="V52" s="5"/>
      <c r="W52" s="5"/>
      <c r="X52" s="5"/>
    </row>
    <row r="53" spans="1:24" ht="24" x14ac:dyDescent="0.3">
      <c r="A53" s="5"/>
      <c r="B53" s="130"/>
      <c r="C53" s="25" t="s">
        <v>67</v>
      </c>
      <c r="D53" s="133" t="s">
        <v>146</v>
      </c>
      <c r="E53" s="133"/>
      <c r="F53" s="26" t="s">
        <v>15</v>
      </c>
      <c r="G53" s="27">
        <f t="shared" si="0"/>
        <v>10</v>
      </c>
      <c r="H53" s="28" t="s">
        <v>216</v>
      </c>
      <c r="I53" s="29"/>
      <c r="J53" s="23">
        <f t="shared" si="1"/>
        <v>0</v>
      </c>
      <c r="K53" s="30"/>
      <c r="L53" s="30"/>
      <c r="M53" s="30" t="str">
        <f>IF(OR(I53="취약",I53="수동점검"),대응방안!G45,"-")</f>
        <v>-</v>
      </c>
      <c r="N53" s="30"/>
      <c r="O53" s="114"/>
      <c r="P53" s="117">
        <f t="shared" si="2"/>
        <v>0</v>
      </c>
      <c r="Q53" s="110"/>
      <c r="R53" s="105"/>
      <c r="S53" s="5"/>
      <c r="T53" s="5"/>
      <c r="U53" s="5"/>
      <c r="V53" s="5"/>
      <c r="W53" s="5"/>
      <c r="X53" s="5"/>
    </row>
    <row r="54" spans="1:24" ht="24" x14ac:dyDescent="0.3">
      <c r="A54" s="5"/>
      <c r="B54" s="130"/>
      <c r="C54" s="25" t="s">
        <v>68</v>
      </c>
      <c r="D54" s="133" t="s">
        <v>147</v>
      </c>
      <c r="E54" s="133"/>
      <c r="F54" s="26" t="s">
        <v>15</v>
      </c>
      <c r="G54" s="27">
        <f t="shared" si="0"/>
        <v>10</v>
      </c>
      <c r="H54" s="28" t="s">
        <v>217</v>
      </c>
      <c r="I54" s="29"/>
      <c r="J54" s="23">
        <f t="shared" si="1"/>
        <v>0</v>
      </c>
      <c r="K54" s="30"/>
      <c r="L54" s="30"/>
      <c r="M54" s="30" t="str">
        <f>IF(OR(I54="취약",I54="수동점검"),대응방안!G46,"-")</f>
        <v>-</v>
      </c>
      <c r="N54" s="30"/>
      <c r="O54" s="114"/>
      <c r="P54" s="117">
        <f t="shared" si="2"/>
        <v>0</v>
      </c>
      <c r="Q54" s="110"/>
      <c r="R54" s="105"/>
      <c r="S54" s="5"/>
      <c r="T54" s="5"/>
      <c r="U54" s="5"/>
      <c r="V54" s="5"/>
      <c r="W54" s="5"/>
      <c r="X54" s="5"/>
    </row>
    <row r="55" spans="1:24" ht="24" x14ac:dyDescent="0.3">
      <c r="A55" s="5"/>
      <c r="B55" s="130"/>
      <c r="C55" s="25" t="s">
        <v>69</v>
      </c>
      <c r="D55" s="133" t="s">
        <v>148</v>
      </c>
      <c r="E55" s="133"/>
      <c r="F55" s="26" t="s">
        <v>15</v>
      </c>
      <c r="G55" s="27">
        <f t="shared" si="0"/>
        <v>10</v>
      </c>
      <c r="H55" s="28" t="s">
        <v>218</v>
      </c>
      <c r="I55" s="29"/>
      <c r="J55" s="23">
        <f t="shared" si="1"/>
        <v>0</v>
      </c>
      <c r="K55" s="30"/>
      <c r="L55" s="30"/>
      <c r="M55" s="30" t="str">
        <f>IF(OR(I55="취약",I55="수동점검"),대응방안!G47,"-")</f>
        <v>-</v>
      </c>
      <c r="N55" s="30"/>
      <c r="O55" s="114"/>
      <c r="P55" s="117">
        <f t="shared" si="2"/>
        <v>0</v>
      </c>
      <c r="Q55" s="110"/>
      <c r="R55" s="105"/>
      <c r="S55" s="5"/>
      <c r="T55" s="5"/>
      <c r="U55" s="5"/>
      <c r="V55" s="5"/>
      <c r="W55" s="5"/>
      <c r="X55" s="5"/>
    </row>
    <row r="56" spans="1:24" ht="24" x14ac:dyDescent="0.3">
      <c r="A56" s="5"/>
      <c r="B56" s="130"/>
      <c r="C56" s="25" t="s">
        <v>70</v>
      </c>
      <c r="D56" s="133" t="s">
        <v>149</v>
      </c>
      <c r="E56" s="133"/>
      <c r="F56" s="26" t="s">
        <v>15</v>
      </c>
      <c r="G56" s="27">
        <f t="shared" si="0"/>
        <v>10</v>
      </c>
      <c r="H56" s="28" t="s">
        <v>150</v>
      </c>
      <c r="I56" s="29"/>
      <c r="J56" s="23">
        <f t="shared" si="1"/>
        <v>0</v>
      </c>
      <c r="K56" s="30"/>
      <c r="L56" s="30"/>
      <c r="M56" s="30" t="str">
        <f>IF(OR(I56="취약",I56="수동점검"),대응방안!G48,"-")</f>
        <v>-</v>
      </c>
      <c r="N56" s="30"/>
      <c r="O56" s="114"/>
      <c r="P56" s="117">
        <f t="shared" si="2"/>
        <v>0</v>
      </c>
      <c r="Q56" s="110"/>
      <c r="R56" s="105"/>
      <c r="S56" s="5"/>
      <c r="T56" s="5"/>
      <c r="U56" s="5"/>
      <c r="V56" s="5"/>
      <c r="W56" s="5"/>
      <c r="X56" s="5"/>
    </row>
    <row r="57" spans="1:24" ht="24" x14ac:dyDescent="0.3">
      <c r="A57" s="5"/>
      <c r="B57" s="130"/>
      <c r="C57" s="25" t="s">
        <v>71</v>
      </c>
      <c r="D57" s="133" t="s">
        <v>151</v>
      </c>
      <c r="E57" s="133"/>
      <c r="F57" s="26" t="s">
        <v>15</v>
      </c>
      <c r="G57" s="27">
        <f t="shared" si="0"/>
        <v>10</v>
      </c>
      <c r="H57" s="28" t="s">
        <v>219</v>
      </c>
      <c r="I57" s="29"/>
      <c r="J57" s="23">
        <f t="shared" si="1"/>
        <v>0</v>
      </c>
      <c r="K57" s="30"/>
      <c r="L57" s="30"/>
      <c r="M57" s="30" t="str">
        <f>IF(OR(I57="취약",I57="수동점검"),대응방안!G49,"-")</f>
        <v>-</v>
      </c>
      <c r="N57" s="30"/>
      <c r="O57" s="114"/>
      <c r="P57" s="117">
        <f t="shared" si="2"/>
        <v>0</v>
      </c>
      <c r="Q57" s="110"/>
      <c r="R57" s="105"/>
      <c r="S57" s="5"/>
      <c r="T57" s="5"/>
      <c r="U57" s="5"/>
      <c r="V57" s="5"/>
      <c r="W57" s="5"/>
      <c r="X57" s="5"/>
    </row>
    <row r="58" spans="1:24" ht="24" x14ac:dyDescent="0.3">
      <c r="A58" s="5"/>
      <c r="B58" s="130"/>
      <c r="C58" s="25" t="s">
        <v>72</v>
      </c>
      <c r="D58" s="133" t="s">
        <v>152</v>
      </c>
      <c r="E58" s="133"/>
      <c r="F58" s="26" t="s">
        <v>15</v>
      </c>
      <c r="G58" s="27">
        <f t="shared" si="0"/>
        <v>10</v>
      </c>
      <c r="H58" s="28" t="s">
        <v>220</v>
      </c>
      <c r="I58" s="29"/>
      <c r="J58" s="23">
        <f t="shared" si="1"/>
        <v>0</v>
      </c>
      <c r="K58" s="30"/>
      <c r="L58" s="30"/>
      <c r="M58" s="30" t="str">
        <f>IF(OR(I58="취약",I58="수동점검"),대응방안!G50,"-")</f>
        <v>-</v>
      </c>
      <c r="N58" s="30"/>
      <c r="O58" s="114"/>
      <c r="P58" s="117">
        <f t="shared" si="2"/>
        <v>0</v>
      </c>
      <c r="Q58" s="110"/>
      <c r="R58" s="105"/>
      <c r="S58" s="5"/>
      <c r="T58" s="5"/>
      <c r="U58" s="5"/>
      <c r="V58" s="5"/>
      <c r="W58" s="5"/>
      <c r="X58" s="5"/>
    </row>
    <row r="59" spans="1:24" ht="24" x14ac:dyDescent="0.3">
      <c r="A59" s="5"/>
      <c r="B59" s="130"/>
      <c r="C59" s="25" t="s">
        <v>73</v>
      </c>
      <c r="D59" s="133" t="s">
        <v>153</v>
      </c>
      <c r="E59" s="133"/>
      <c r="F59" s="26" t="s">
        <v>16</v>
      </c>
      <c r="G59" s="27">
        <f t="shared" si="0"/>
        <v>8</v>
      </c>
      <c r="H59" s="28" t="s">
        <v>154</v>
      </c>
      <c r="I59" s="29"/>
      <c r="J59" s="23">
        <f t="shared" si="1"/>
        <v>0</v>
      </c>
      <c r="K59" s="30"/>
      <c r="L59" s="30"/>
      <c r="M59" s="30" t="str">
        <f>IF(OR(I59="취약",I59="수동점검"),대응방안!G51,"-")</f>
        <v>-</v>
      </c>
      <c r="N59" s="30"/>
      <c r="O59" s="114"/>
      <c r="P59" s="117">
        <f t="shared" si="2"/>
        <v>0</v>
      </c>
      <c r="Q59" s="110"/>
      <c r="R59" s="105"/>
      <c r="S59" s="5"/>
      <c r="T59" s="5"/>
      <c r="U59" s="5"/>
      <c r="V59" s="5"/>
      <c r="W59" s="5"/>
      <c r="X59" s="5"/>
    </row>
    <row r="60" spans="1:24" ht="24" x14ac:dyDescent="0.3">
      <c r="A60" s="5"/>
      <c r="B60" s="130"/>
      <c r="C60" s="25" t="s">
        <v>74</v>
      </c>
      <c r="D60" s="133" t="s">
        <v>155</v>
      </c>
      <c r="E60" s="133"/>
      <c r="F60" s="26" t="s">
        <v>15</v>
      </c>
      <c r="G60" s="27">
        <f t="shared" si="0"/>
        <v>10</v>
      </c>
      <c r="H60" s="28" t="s">
        <v>156</v>
      </c>
      <c r="I60" s="29"/>
      <c r="J60" s="23">
        <f t="shared" si="1"/>
        <v>0</v>
      </c>
      <c r="K60" s="30"/>
      <c r="L60" s="30"/>
      <c r="M60" s="30" t="str">
        <f>IF(OR(I60="취약",I60="수동점검"),대응방안!G52,"-")</f>
        <v>-</v>
      </c>
      <c r="N60" s="30"/>
      <c r="O60" s="114"/>
      <c r="P60" s="117">
        <f t="shared" si="2"/>
        <v>0</v>
      </c>
      <c r="Q60" s="110"/>
      <c r="R60" s="105"/>
      <c r="S60" s="5"/>
      <c r="T60" s="5"/>
      <c r="U60" s="5"/>
      <c r="V60" s="5"/>
      <c r="W60" s="5"/>
      <c r="X60" s="5"/>
    </row>
    <row r="61" spans="1:24" ht="24" x14ac:dyDescent="0.3">
      <c r="A61" s="5"/>
      <c r="B61" s="130"/>
      <c r="C61" s="25" t="s">
        <v>75</v>
      </c>
      <c r="D61" s="133" t="s">
        <v>157</v>
      </c>
      <c r="E61" s="133"/>
      <c r="F61" s="26" t="s">
        <v>15</v>
      </c>
      <c r="G61" s="27">
        <f t="shared" si="0"/>
        <v>10</v>
      </c>
      <c r="H61" s="28" t="s">
        <v>158</v>
      </c>
      <c r="I61" s="29"/>
      <c r="J61" s="23">
        <f t="shared" si="1"/>
        <v>0</v>
      </c>
      <c r="K61" s="30"/>
      <c r="L61" s="30"/>
      <c r="M61" s="30" t="str">
        <f>IF(OR(I61="취약",I61="수동점검"),대응방안!G53,"-")</f>
        <v>-</v>
      </c>
      <c r="N61" s="30"/>
      <c r="O61" s="114"/>
      <c r="P61" s="117">
        <f t="shared" si="2"/>
        <v>0</v>
      </c>
      <c r="Q61" s="110"/>
      <c r="R61" s="105"/>
      <c r="S61" s="5"/>
      <c r="T61" s="5"/>
      <c r="U61" s="5"/>
      <c r="V61" s="5"/>
      <c r="W61" s="5"/>
      <c r="X61" s="5"/>
    </row>
    <row r="62" spans="1:24" ht="48" x14ac:dyDescent="0.3">
      <c r="A62" s="5"/>
      <c r="B62" s="130"/>
      <c r="C62" s="25" t="s">
        <v>76</v>
      </c>
      <c r="D62" s="133" t="s">
        <v>159</v>
      </c>
      <c r="E62" s="133"/>
      <c r="F62" s="26" t="s">
        <v>16</v>
      </c>
      <c r="G62" s="27">
        <f t="shared" si="0"/>
        <v>8</v>
      </c>
      <c r="H62" s="28" t="s">
        <v>221</v>
      </c>
      <c r="I62" s="29"/>
      <c r="J62" s="23">
        <f t="shared" si="1"/>
        <v>0</v>
      </c>
      <c r="K62" s="30"/>
      <c r="L62" s="30"/>
      <c r="M62" s="30" t="str">
        <f>IF(OR(I62="취약",I62="수동점검"),대응방안!G54,"-")</f>
        <v>-</v>
      </c>
      <c r="N62" s="30"/>
      <c r="O62" s="114"/>
      <c r="P62" s="117">
        <f t="shared" si="2"/>
        <v>0</v>
      </c>
      <c r="Q62" s="110"/>
      <c r="R62" s="105"/>
      <c r="S62" s="5"/>
      <c r="T62" s="5"/>
      <c r="U62" s="5"/>
      <c r="V62" s="5"/>
      <c r="W62" s="5"/>
      <c r="X62" s="5"/>
    </row>
    <row r="63" spans="1:24" ht="24" x14ac:dyDescent="0.3">
      <c r="A63" s="5"/>
      <c r="B63" s="130"/>
      <c r="C63" s="25" t="s">
        <v>77</v>
      </c>
      <c r="D63" s="133" t="s">
        <v>160</v>
      </c>
      <c r="E63" s="133"/>
      <c r="F63" s="26" t="s">
        <v>16</v>
      </c>
      <c r="G63" s="27">
        <f t="shared" si="0"/>
        <v>8</v>
      </c>
      <c r="H63" s="28" t="s">
        <v>222</v>
      </c>
      <c r="I63" s="29"/>
      <c r="J63" s="23">
        <f t="shared" si="1"/>
        <v>0</v>
      </c>
      <c r="K63" s="30"/>
      <c r="L63" s="30"/>
      <c r="M63" s="30" t="str">
        <f>IF(OR(I63="취약",I63="수동점검"),대응방안!G55,"-")</f>
        <v>-</v>
      </c>
      <c r="N63" s="30"/>
      <c r="O63" s="114"/>
      <c r="P63" s="117">
        <f t="shared" si="2"/>
        <v>0</v>
      </c>
      <c r="Q63" s="110"/>
      <c r="R63" s="105"/>
      <c r="S63" s="5"/>
      <c r="T63" s="5"/>
      <c r="U63" s="5"/>
      <c r="V63" s="5"/>
      <c r="W63" s="5"/>
      <c r="X63" s="5"/>
    </row>
    <row r="64" spans="1:24" ht="24" x14ac:dyDescent="0.3">
      <c r="A64" s="5"/>
      <c r="B64" s="130"/>
      <c r="C64" s="25" t="s">
        <v>78</v>
      </c>
      <c r="D64" s="133" t="s">
        <v>161</v>
      </c>
      <c r="E64" s="133"/>
      <c r="F64" s="26" t="s">
        <v>17</v>
      </c>
      <c r="G64" s="27">
        <f t="shared" si="0"/>
        <v>6</v>
      </c>
      <c r="H64" s="28" t="s">
        <v>223</v>
      </c>
      <c r="I64" s="29"/>
      <c r="J64" s="23">
        <f t="shared" si="1"/>
        <v>0</v>
      </c>
      <c r="K64" s="30"/>
      <c r="L64" s="30"/>
      <c r="M64" s="30" t="str">
        <f>IF(OR(I64="취약",I64="수동점검"),대응방안!G56,"-")</f>
        <v>-</v>
      </c>
      <c r="N64" s="30"/>
      <c r="O64" s="114"/>
      <c r="P64" s="117">
        <f t="shared" si="2"/>
        <v>0</v>
      </c>
      <c r="Q64" s="110"/>
      <c r="R64" s="105"/>
      <c r="S64" s="5"/>
      <c r="T64" s="5"/>
      <c r="U64" s="5"/>
      <c r="V64" s="5"/>
      <c r="W64" s="5"/>
      <c r="X64" s="5"/>
    </row>
    <row r="65" spans="1:24" ht="24" x14ac:dyDescent="0.3">
      <c r="A65" s="5"/>
      <c r="B65" s="130"/>
      <c r="C65" s="25" t="s">
        <v>79</v>
      </c>
      <c r="D65" s="133" t="s">
        <v>162</v>
      </c>
      <c r="E65" s="133"/>
      <c r="F65" s="26" t="s">
        <v>16</v>
      </c>
      <c r="G65" s="27">
        <f t="shared" si="0"/>
        <v>8</v>
      </c>
      <c r="H65" s="28" t="s">
        <v>224</v>
      </c>
      <c r="I65" s="29"/>
      <c r="J65" s="23">
        <f t="shared" si="1"/>
        <v>0</v>
      </c>
      <c r="K65" s="30"/>
      <c r="L65" s="30"/>
      <c r="M65" s="30" t="str">
        <f>IF(OR(I65="취약",I65="수동점검"),대응방안!G57,"-")</f>
        <v>-</v>
      </c>
      <c r="N65" s="30"/>
      <c r="O65" s="114"/>
      <c r="P65" s="117">
        <f t="shared" si="2"/>
        <v>0</v>
      </c>
      <c r="Q65" s="110"/>
      <c r="R65" s="105"/>
      <c r="S65" s="5"/>
      <c r="T65" s="5"/>
      <c r="U65" s="5"/>
      <c r="V65" s="5"/>
      <c r="W65" s="5"/>
      <c r="X65" s="5"/>
    </row>
    <row r="66" spans="1:24" ht="24" x14ac:dyDescent="0.3">
      <c r="A66" s="5"/>
      <c r="B66" s="130"/>
      <c r="C66" s="25" t="s">
        <v>80</v>
      </c>
      <c r="D66" s="133" t="s">
        <v>163</v>
      </c>
      <c r="E66" s="133"/>
      <c r="F66" s="26" t="s">
        <v>16</v>
      </c>
      <c r="G66" s="27">
        <f t="shared" si="0"/>
        <v>8</v>
      </c>
      <c r="H66" s="28" t="s">
        <v>164</v>
      </c>
      <c r="I66" s="29"/>
      <c r="J66" s="23">
        <f t="shared" si="1"/>
        <v>0</v>
      </c>
      <c r="K66" s="30"/>
      <c r="L66" s="30"/>
      <c r="M66" s="30" t="str">
        <f>IF(OR(I66="취약",I66="수동점검"),대응방안!G58,"-")</f>
        <v>-</v>
      </c>
      <c r="N66" s="30"/>
      <c r="O66" s="114"/>
      <c r="P66" s="117">
        <f t="shared" si="2"/>
        <v>0</v>
      </c>
      <c r="Q66" s="110"/>
      <c r="R66" s="105"/>
      <c r="S66" s="5"/>
      <c r="T66" s="5"/>
      <c r="U66" s="5"/>
      <c r="V66" s="5"/>
      <c r="W66" s="5"/>
      <c r="X66" s="5"/>
    </row>
    <row r="67" spans="1:24" ht="36" x14ac:dyDescent="0.3">
      <c r="A67" s="5"/>
      <c r="B67" s="130"/>
      <c r="C67" s="25" t="s">
        <v>81</v>
      </c>
      <c r="D67" s="133" t="s">
        <v>165</v>
      </c>
      <c r="E67" s="133"/>
      <c r="F67" s="26" t="s">
        <v>17</v>
      </c>
      <c r="G67" s="27">
        <f t="shared" si="0"/>
        <v>6</v>
      </c>
      <c r="H67" s="28" t="s">
        <v>166</v>
      </c>
      <c r="I67" s="29"/>
      <c r="J67" s="23">
        <f t="shared" si="1"/>
        <v>0</v>
      </c>
      <c r="K67" s="30"/>
      <c r="L67" s="30"/>
      <c r="M67" s="30" t="str">
        <f>IF(OR(I67="취약",I67="수동점검"),대응방안!G59,"-")</f>
        <v>-</v>
      </c>
      <c r="N67" s="30"/>
      <c r="O67" s="114"/>
      <c r="P67" s="117">
        <f t="shared" si="2"/>
        <v>0</v>
      </c>
      <c r="Q67" s="110"/>
      <c r="R67" s="105"/>
      <c r="S67" s="5"/>
      <c r="T67" s="5"/>
      <c r="U67" s="5"/>
      <c r="V67" s="5"/>
      <c r="W67" s="5"/>
      <c r="X67" s="5"/>
    </row>
    <row r="68" spans="1:24" ht="24" x14ac:dyDescent="0.3">
      <c r="A68" s="5"/>
      <c r="B68" s="130"/>
      <c r="C68" s="25" t="s">
        <v>82</v>
      </c>
      <c r="D68" s="133" t="s">
        <v>167</v>
      </c>
      <c r="E68" s="133"/>
      <c r="F68" s="26" t="s">
        <v>16</v>
      </c>
      <c r="G68" s="27">
        <f t="shared" si="0"/>
        <v>8</v>
      </c>
      <c r="H68" s="28" t="s">
        <v>225</v>
      </c>
      <c r="I68" s="29"/>
      <c r="J68" s="23">
        <f t="shared" si="1"/>
        <v>0</v>
      </c>
      <c r="K68" s="30"/>
      <c r="L68" s="30"/>
      <c r="M68" s="30" t="str">
        <f>IF(OR(I68="취약",I68="수동점검"),대응방안!G60,"-")</f>
        <v>-</v>
      </c>
      <c r="N68" s="30"/>
      <c r="O68" s="114"/>
      <c r="P68" s="117">
        <f t="shared" si="2"/>
        <v>0</v>
      </c>
      <c r="Q68" s="110"/>
      <c r="R68" s="105"/>
      <c r="S68" s="5"/>
      <c r="T68" s="5"/>
      <c r="U68" s="5"/>
      <c r="V68" s="5"/>
      <c r="W68" s="5"/>
      <c r="X68" s="5"/>
    </row>
    <row r="69" spans="1:24" ht="24" x14ac:dyDescent="0.3">
      <c r="A69" s="5"/>
      <c r="B69" s="130"/>
      <c r="C69" s="25" t="s">
        <v>83</v>
      </c>
      <c r="D69" s="133" t="s">
        <v>168</v>
      </c>
      <c r="E69" s="133"/>
      <c r="F69" s="26" t="s">
        <v>16</v>
      </c>
      <c r="G69" s="27">
        <f t="shared" si="0"/>
        <v>8</v>
      </c>
      <c r="H69" s="28" t="s">
        <v>169</v>
      </c>
      <c r="I69" s="29"/>
      <c r="J69" s="23">
        <f t="shared" si="1"/>
        <v>0</v>
      </c>
      <c r="K69" s="30"/>
      <c r="L69" s="30"/>
      <c r="M69" s="30" t="str">
        <f>IF(OR(I69="취약",I69="수동점검"),대응방안!G61,"-")</f>
        <v>-</v>
      </c>
      <c r="N69" s="30"/>
      <c r="O69" s="114"/>
      <c r="P69" s="117">
        <f t="shared" si="2"/>
        <v>0</v>
      </c>
      <c r="Q69" s="110"/>
      <c r="R69" s="105"/>
      <c r="S69" s="5"/>
      <c r="T69" s="5"/>
      <c r="U69" s="5"/>
      <c r="V69" s="5"/>
      <c r="W69" s="5"/>
      <c r="X69" s="5"/>
    </row>
    <row r="70" spans="1:24" ht="24" x14ac:dyDescent="0.3">
      <c r="A70" s="5"/>
      <c r="B70" s="130"/>
      <c r="C70" s="25" t="s">
        <v>84</v>
      </c>
      <c r="D70" s="133" t="s">
        <v>170</v>
      </c>
      <c r="E70" s="133"/>
      <c r="F70" s="26" t="s">
        <v>15</v>
      </c>
      <c r="G70" s="27">
        <f t="shared" si="0"/>
        <v>10</v>
      </c>
      <c r="H70" s="28" t="s">
        <v>171</v>
      </c>
      <c r="I70" s="29"/>
      <c r="J70" s="23">
        <f t="shared" si="1"/>
        <v>0</v>
      </c>
      <c r="K70" s="30"/>
      <c r="L70" s="30"/>
      <c r="M70" s="30" t="str">
        <f>IF(OR(I70="취약",I70="수동점검"),대응방안!G62,"-")</f>
        <v>-</v>
      </c>
      <c r="N70" s="30"/>
      <c r="O70" s="114"/>
      <c r="P70" s="117">
        <f t="shared" si="2"/>
        <v>0</v>
      </c>
      <c r="Q70" s="110"/>
      <c r="R70" s="105"/>
      <c r="S70" s="5"/>
      <c r="T70" s="5"/>
      <c r="U70" s="5"/>
      <c r="V70" s="5"/>
      <c r="W70" s="5"/>
      <c r="X70" s="5"/>
    </row>
    <row r="71" spans="1:24" ht="96" x14ac:dyDescent="0.3">
      <c r="A71" s="5"/>
      <c r="B71" s="130"/>
      <c r="C71" s="25" t="s">
        <v>85</v>
      </c>
      <c r="D71" s="133" t="s">
        <v>172</v>
      </c>
      <c r="E71" s="133"/>
      <c r="F71" s="26" t="s">
        <v>16</v>
      </c>
      <c r="G71" s="27">
        <f t="shared" si="0"/>
        <v>8</v>
      </c>
      <c r="H71" s="28" t="s">
        <v>226</v>
      </c>
      <c r="I71" s="29"/>
      <c r="J71" s="23">
        <f t="shared" si="1"/>
        <v>0</v>
      </c>
      <c r="K71" s="30"/>
      <c r="L71" s="30"/>
      <c r="M71" s="30" t="str">
        <f>IF(OR(I71="취약",I71="수동점검"),대응방안!G63,"-")</f>
        <v>-</v>
      </c>
      <c r="N71" s="30"/>
      <c r="O71" s="114"/>
      <c r="P71" s="117">
        <f t="shared" si="2"/>
        <v>0</v>
      </c>
      <c r="Q71" s="110"/>
      <c r="R71" s="105"/>
      <c r="S71" s="5"/>
      <c r="T71" s="5"/>
      <c r="U71" s="5"/>
      <c r="V71" s="5"/>
      <c r="W71" s="5"/>
      <c r="X71" s="5"/>
    </row>
    <row r="72" spans="1:24" ht="24" x14ac:dyDescent="0.3">
      <c r="A72" s="5"/>
      <c r="B72" s="130"/>
      <c r="C72" s="25" t="s">
        <v>86</v>
      </c>
      <c r="D72" s="133" t="s">
        <v>173</v>
      </c>
      <c r="E72" s="133"/>
      <c r="F72" s="26" t="s">
        <v>15</v>
      </c>
      <c r="G72" s="27">
        <f t="shared" si="0"/>
        <v>10</v>
      </c>
      <c r="H72" s="28" t="s">
        <v>227</v>
      </c>
      <c r="I72" s="29"/>
      <c r="J72" s="23">
        <f t="shared" si="1"/>
        <v>0</v>
      </c>
      <c r="K72" s="30"/>
      <c r="L72" s="30"/>
      <c r="M72" s="30" t="str">
        <f>IF(OR(I72="취약",I72="수동점검"),대응방안!G64,"-")</f>
        <v>-</v>
      </c>
      <c r="N72" s="30"/>
      <c r="O72" s="114"/>
      <c r="P72" s="117">
        <f t="shared" si="2"/>
        <v>0</v>
      </c>
      <c r="Q72" s="110"/>
      <c r="R72" s="105"/>
      <c r="S72" s="5"/>
      <c r="T72" s="5"/>
      <c r="U72" s="5"/>
      <c r="V72" s="5"/>
      <c r="W72" s="5"/>
      <c r="X72" s="5"/>
    </row>
    <row r="73" spans="1:24" ht="36" x14ac:dyDescent="0.3">
      <c r="A73" s="5"/>
      <c r="B73" s="130"/>
      <c r="C73" s="25" t="s">
        <v>87</v>
      </c>
      <c r="D73" s="133" t="s">
        <v>174</v>
      </c>
      <c r="E73" s="133"/>
      <c r="F73" s="26" t="s">
        <v>17</v>
      </c>
      <c r="G73" s="27">
        <f t="shared" si="0"/>
        <v>6</v>
      </c>
      <c r="H73" s="28" t="s">
        <v>228</v>
      </c>
      <c r="I73" s="29"/>
      <c r="J73" s="23">
        <f t="shared" si="1"/>
        <v>0</v>
      </c>
      <c r="K73" s="37"/>
      <c r="L73" s="30"/>
      <c r="M73" s="30" t="str">
        <f>IF(OR(I73="취약",I73="수동점검"),대응방안!G65,"-")</f>
        <v>-</v>
      </c>
      <c r="N73" s="30"/>
      <c r="O73" s="114"/>
      <c r="P73" s="117">
        <f t="shared" si="2"/>
        <v>0</v>
      </c>
      <c r="Q73" s="110"/>
      <c r="R73" s="105"/>
      <c r="S73" s="5"/>
      <c r="T73" s="5"/>
      <c r="U73" s="5"/>
      <c r="V73" s="5"/>
      <c r="W73" s="5"/>
      <c r="X73" s="5"/>
    </row>
    <row r="74" spans="1:24" ht="24" x14ac:dyDescent="0.3">
      <c r="A74" s="5"/>
      <c r="B74" s="131"/>
      <c r="C74" s="31" t="s">
        <v>88</v>
      </c>
      <c r="D74" s="134" t="s">
        <v>175</v>
      </c>
      <c r="E74" s="134"/>
      <c r="F74" s="32" t="s">
        <v>16</v>
      </c>
      <c r="G74" s="27">
        <f t="shared" si="0"/>
        <v>8</v>
      </c>
      <c r="H74" s="33" t="s">
        <v>229</v>
      </c>
      <c r="I74" s="34"/>
      <c r="J74" s="23">
        <f t="shared" si="1"/>
        <v>0</v>
      </c>
      <c r="K74" s="35"/>
      <c r="L74" s="35"/>
      <c r="M74" s="35" t="str">
        <f>IF(OR(I74="취약",I74="수동점검"),대응방안!G66,"-")</f>
        <v>-</v>
      </c>
      <c r="N74" s="35"/>
      <c r="O74" s="115"/>
      <c r="P74" s="118">
        <f t="shared" si="2"/>
        <v>0</v>
      </c>
      <c r="Q74" s="111"/>
      <c r="R74" s="106"/>
      <c r="S74" s="5"/>
      <c r="T74" s="5"/>
      <c r="U74" s="5"/>
      <c r="V74" s="5"/>
      <c r="W74" s="5"/>
      <c r="X74" s="5"/>
    </row>
    <row r="75" spans="1:24" ht="48" x14ac:dyDescent="0.3">
      <c r="A75" s="5"/>
      <c r="B75" s="15" t="s">
        <v>20</v>
      </c>
      <c r="C75" s="13" t="s">
        <v>89</v>
      </c>
      <c r="D75" s="135" t="s">
        <v>176</v>
      </c>
      <c r="E75" s="135"/>
      <c r="F75" s="14" t="s">
        <v>15</v>
      </c>
      <c r="G75" s="27">
        <f t="shared" si="0"/>
        <v>10</v>
      </c>
      <c r="H75" s="42" t="s">
        <v>230</v>
      </c>
      <c r="I75" s="22"/>
      <c r="J75" s="23">
        <f t="shared" si="1"/>
        <v>0</v>
      </c>
      <c r="K75" s="43"/>
      <c r="L75" s="43"/>
      <c r="M75" s="24" t="str">
        <f>IF(OR(I75="취약",I75="수동점검"),대응방안!G67,"-")</f>
        <v>-</v>
      </c>
      <c r="N75" s="43"/>
      <c r="O75" s="116"/>
      <c r="P75" s="119">
        <f t="shared" si="2"/>
        <v>0</v>
      </c>
      <c r="Q75" s="112"/>
      <c r="R75" s="107"/>
      <c r="S75" s="5"/>
      <c r="T75" s="5"/>
      <c r="U75" s="5"/>
      <c r="V75" s="5"/>
      <c r="W75" s="5"/>
      <c r="X75" s="5"/>
    </row>
    <row r="76" spans="1:24" ht="24" x14ac:dyDescent="0.3">
      <c r="A76" s="5"/>
      <c r="B76" s="129" t="s">
        <v>21</v>
      </c>
      <c r="C76" s="18" t="s">
        <v>90</v>
      </c>
      <c r="D76" s="132" t="s">
        <v>177</v>
      </c>
      <c r="E76" s="132"/>
      <c r="F76" s="19" t="s">
        <v>16</v>
      </c>
      <c r="G76" s="27">
        <f t="shared" si="0"/>
        <v>8</v>
      </c>
      <c r="H76" s="21" t="s">
        <v>231</v>
      </c>
      <c r="I76" s="22"/>
      <c r="J76" s="23">
        <f t="shared" si="1"/>
        <v>0</v>
      </c>
      <c r="K76" s="24"/>
      <c r="L76" s="24"/>
      <c r="M76" s="24" t="str">
        <f>IF(OR(I76="취약",I76="수동점검"),대응방안!G68,"-")</f>
        <v>-</v>
      </c>
      <c r="N76" s="24"/>
      <c r="O76" s="113"/>
      <c r="P76" s="23">
        <f t="shared" si="2"/>
        <v>0</v>
      </c>
      <c r="Q76" s="109"/>
      <c r="R76" s="104"/>
      <c r="S76" s="5"/>
      <c r="T76" s="5"/>
      <c r="U76" s="5"/>
      <c r="V76" s="5"/>
      <c r="W76" s="5"/>
      <c r="X76" s="5"/>
    </row>
    <row r="77" spans="1:24" ht="48" x14ac:dyDescent="0.3">
      <c r="A77" s="5"/>
      <c r="B77" s="130"/>
      <c r="C77" s="25" t="s">
        <v>91</v>
      </c>
      <c r="D77" s="133" t="s">
        <v>178</v>
      </c>
      <c r="E77" s="133"/>
      <c r="F77" s="26" t="s">
        <v>16</v>
      </c>
      <c r="G77" s="27">
        <f t="shared" ref="G77:G78" si="3">IF(F77="상",10,IF(F77="중",8,6))</f>
        <v>8</v>
      </c>
      <c r="H77" s="28" t="s">
        <v>232</v>
      </c>
      <c r="I77" s="29"/>
      <c r="J77" s="23">
        <f t="shared" ref="J77:J78" si="4">IF(I77="N/A","N/A",(IF(I77="양호",1,IF(I77="위험수용",0.5,0))*$G77))</f>
        <v>0</v>
      </c>
      <c r="K77" s="37"/>
      <c r="L77" s="30"/>
      <c r="M77" s="30" t="str">
        <f>IF(OR(I77="취약",I77="수동점검"),대응방안!G69,"-")</f>
        <v>-</v>
      </c>
      <c r="N77" s="30"/>
      <c r="O77" s="114"/>
      <c r="P77" s="117">
        <f t="shared" ref="P77:P78" si="5">IF(O77="N/A","N/A",(IF(O77="양호",1,IF(O77="위험수용",0.5,0))*$G77))</f>
        <v>0</v>
      </c>
      <c r="Q77" s="110"/>
      <c r="R77" s="105"/>
      <c r="S77" s="5"/>
      <c r="T77" s="5"/>
      <c r="U77" s="5"/>
      <c r="V77" s="5"/>
      <c r="W77" s="5"/>
      <c r="X77" s="5"/>
    </row>
    <row r="78" spans="1:24" ht="24" x14ac:dyDescent="0.3">
      <c r="A78" s="5"/>
      <c r="B78" s="131"/>
      <c r="C78" s="31" t="s">
        <v>92</v>
      </c>
      <c r="D78" s="134" t="s">
        <v>179</v>
      </c>
      <c r="E78" s="134"/>
      <c r="F78" s="32" t="s">
        <v>16</v>
      </c>
      <c r="G78" s="27">
        <f t="shared" si="3"/>
        <v>8</v>
      </c>
      <c r="H78" s="33" t="s">
        <v>233</v>
      </c>
      <c r="I78" s="34"/>
      <c r="J78" s="23">
        <f t="shared" si="4"/>
        <v>0</v>
      </c>
      <c r="K78" s="35"/>
      <c r="L78" s="35"/>
      <c r="M78" s="35" t="str">
        <f>IF(OR(I78="취약",I78="수동점검"),대응방안!G70,"-")</f>
        <v>-</v>
      </c>
      <c r="N78" s="35"/>
      <c r="O78" s="115"/>
      <c r="P78" s="118">
        <f t="shared" si="5"/>
        <v>0</v>
      </c>
      <c r="Q78" s="111"/>
      <c r="R78" s="106"/>
      <c r="S78" s="5"/>
      <c r="T78" s="5"/>
      <c r="U78" s="5"/>
      <c r="V78" s="5"/>
      <c r="W78" s="5"/>
      <c r="X78" s="5"/>
    </row>
    <row r="79" spans="1:24" x14ac:dyDescent="0.3">
      <c r="A79" s="5"/>
      <c r="B79" s="136" t="s">
        <v>22</v>
      </c>
      <c r="C79" s="137"/>
      <c r="D79" s="137"/>
      <c r="E79" s="138"/>
      <c r="F79" s="38"/>
      <c r="G79" s="38">
        <f>SUM($G$12:$G$78)-SUMIF(I12:I78,"N/A",G12:G78)</f>
        <v>596</v>
      </c>
      <c r="H79" s="39"/>
      <c r="I79" s="38">
        <f>COUNTIF(I12:I78,"&lt;&gt;N/A")</f>
        <v>67</v>
      </c>
      <c r="J79" s="38">
        <f>SUM(J12:J78)</f>
        <v>0</v>
      </c>
      <c r="K79" s="40">
        <f>J79/G79</f>
        <v>0</v>
      </c>
      <c r="L79" s="40"/>
      <c r="M79" s="40"/>
      <c r="N79" s="40"/>
      <c r="O79" s="108"/>
      <c r="P79" s="38">
        <f>SUM(P12:P78)</f>
        <v>0</v>
      </c>
      <c r="Q79" s="40">
        <f>P79/G79</f>
        <v>0</v>
      </c>
      <c r="R79" s="108"/>
      <c r="S79" s="5"/>
      <c r="T79" s="5"/>
      <c r="U79" s="5"/>
      <c r="V79" s="5"/>
      <c r="W79" s="5"/>
      <c r="X79" s="5"/>
    </row>
    <row r="80" spans="1:24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1:24" x14ac:dyDescent="0.3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1:24" x14ac:dyDescent="0.3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1:24" x14ac:dyDescent="0.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1:24" x14ac:dyDescent="0.3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1:24" x14ac:dyDescent="0.3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1:24" x14ac:dyDescent="0.3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1:24" x14ac:dyDescent="0.3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1:24" x14ac:dyDescent="0.3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1:24" x14ac:dyDescent="0.3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1:24" x14ac:dyDescent="0.3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1:24" x14ac:dyDescent="0.3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1:24" x14ac:dyDescent="0.3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1:24" x14ac:dyDescent="0.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1:24" x14ac:dyDescent="0.3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1:24" x14ac:dyDescent="0.3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1:24" x14ac:dyDescent="0.3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pans="1:24" x14ac:dyDescent="0.3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</row>
    <row r="98" spans="1:24" x14ac:dyDescent="0.3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</row>
    <row r="99" spans="1:24" x14ac:dyDescent="0.3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</row>
    <row r="100" spans="1:24" x14ac:dyDescent="0.3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</row>
    <row r="101" spans="1:24" x14ac:dyDescent="0.3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</row>
    <row r="102" spans="1:24" x14ac:dyDescent="0.3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</row>
    <row r="103" spans="1:24" x14ac:dyDescent="0.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</row>
    <row r="104" spans="1:24" x14ac:dyDescent="0.3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</row>
    <row r="105" spans="1:24" x14ac:dyDescent="0.3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</row>
  </sheetData>
  <mergeCells count="86">
    <mergeCell ref="D59:E59"/>
    <mergeCell ref="D60:E60"/>
    <mergeCell ref="D78:E78"/>
    <mergeCell ref="D62:E62"/>
    <mergeCell ref="D63:E63"/>
    <mergeCell ref="D64:E64"/>
    <mergeCell ref="D65:E65"/>
    <mergeCell ref="D66:E66"/>
    <mergeCell ref="D67:E67"/>
    <mergeCell ref="D68:E68"/>
    <mergeCell ref="D71:E71"/>
    <mergeCell ref="D73:E73"/>
    <mergeCell ref="D74:E74"/>
    <mergeCell ref="D76:E76"/>
    <mergeCell ref="D42:E42"/>
    <mergeCell ref="D43:E43"/>
    <mergeCell ref="D45:E45"/>
    <mergeCell ref="D46:E46"/>
    <mergeCell ref="D47:E47"/>
    <mergeCell ref="D48:E48"/>
    <mergeCell ref="D75:E75"/>
    <mergeCell ref="B76:B78"/>
    <mergeCell ref="D77:E77"/>
    <mergeCell ref="B79:E79"/>
    <mergeCell ref="D61:E61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34:E34"/>
    <mergeCell ref="D35:E35"/>
    <mergeCell ref="D36:E36"/>
    <mergeCell ref="D37:E37"/>
    <mergeCell ref="D23:E23"/>
    <mergeCell ref="D24:E24"/>
    <mergeCell ref="D29:E29"/>
    <mergeCell ref="D30:E30"/>
    <mergeCell ref="D31:E31"/>
    <mergeCell ref="D38:E38"/>
    <mergeCell ref="D32:E32"/>
    <mergeCell ref="D33:E33"/>
    <mergeCell ref="D44:E44"/>
    <mergeCell ref="B45:B74"/>
    <mergeCell ref="D69:E69"/>
    <mergeCell ref="D70:E70"/>
    <mergeCell ref="D72:E72"/>
    <mergeCell ref="D39:E39"/>
    <mergeCell ref="D40:E40"/>
    <mergeCell ref="D41:E41"/>
    <mergeCell ref="B25:B44"/>
    <mergeCell ref="D25:E25"/>
    <mergeCell ref="D26:E26"/>
    <mergeCell ref="D27:E27"/>
    <mergeCell ref="D28:E28"/>
    <mergeCell ref="B10:B11"/>
    <mergeCell ref="C10:C11"/>
    <mergeCell ref="D10:E11"/>
    <mergeCell ref="F10:F11"/>
    <mergeCell ref="B12:B24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O10:R10"/>
    <mergeCell ref="I10:N10"/>
    <mergeCell ref="G10:G11"/>
    <mergeCell ref="H10:H11"/>
    <mergeCell ref="C4:D4"/>
    <mergeCell ref="F4:H4"/>
    <mergeCell ref="C5:D5"/>
    <mergeCell ref="F5:H5"/>
    <mergeCell ref="C6:D6"/>
    <mergeCell ref="F6:H6"/>
  </mergeCells>
  <phoneticPr fontId="1" type="noConversion"/>
  <conditionalFormatting sqref="F12:N78">
    <cfRule type="expression" dxfId="7" priority="6">
      <formula>$I12="N/A"</formula>
    </cfRule>
    <cfRule type="expression" dxfId="6" priority="7">
      <formula>$I12="수동점검"</formula>
    </cfRule>
    <cfRule type="expression" dxfId="5" priority="8">
      <formula>$I12="취약"</formula>
    </cfRule>
  </conditionalFormatting>
  <conditionalFormatting sqref="I12:I78">
    <cfRule type="expression" dxfId="4" priority="4">
      <formula>$I12="수동점검"</formula>
    </cfRule>
    <cfRule type="expression" dxfId="3" priority="5">
      <formula>$I12="취약"</formula>
    </cfRule>
  </conditionalFormatting>
  <conditionalFormatting sqref="P12:P78">
    <cfRule type="expression" dxfId="2" priority="1">
      <formula>$I12="N/A"</formula>
    </cfRule>
    <cfRule type="expression" dxfId="1" priority="2">
      <formula>$I12="수동점검"</formula>
    </cfRule>
    <cfRule type="expression" dxfId="0" priority="3">
      <formula>$I12="취약"</formula>
    </cfRule>
  </conditionalFormatting>
  <pageMargins left="0.7" right="0.7" top="0.75" bottom="0.75" header="0.3" footer="0.3"/>
  <pageSetup paperSize="9" scale="2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2</vt:i4>
      </vt:variant>
    </vt:vector>
  </HeadingPairs>
  <TitlesOfParts>
    <vt:vector size="9" baseType="lpstr">
      <vt:lpstr>Ⅰ. 표지</vt:lpstr>
      <vt:lpstr>Ⅱ. 개요</vt:lpstr>
      <vt:lpstr>Ⅲ. 점검대상</vt:lpstr>
      <vt:lpstr>Ⅳ. 보안점검 결과</vt:lpstr>
      <vt:lpstr>대응방안</vt:lpstr>
      <vt:lpstr>Ⅴ. 이행점검 결과</vt:lpstr>
      <vt:lpstr>template</vt:lpstr>
      <vt:lpstr>'Ⅰ. 표지'!Print_Area</vt:lpstr>
      <vt:lpstr>template!Print_Area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지환 이</dc:creator>
  <cp:lastModifiedBy>지환 이</cp:lastModifiedBy>
  <dcterms:created xsi:type="dcterms:W3CDTF">2026-04-17T05:29:23Z</dcterms:created>
  <dcterms:modified xsi:type="dcterms:W3CDTF">2026-05-12T06:14:57Z</dcterms:modified>
</cp:coreProperties>
</file>