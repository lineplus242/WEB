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Roaming\MobaXterm\slash\mx86_64b\RemoteFiles\266144_2_2\"/>
    </mc:Choice>
  </mc:AlternateContent>
  <xr:revisionPtr revIDLastSave="0" documentId="13_ncr:1_{A6A8FC9B-ABB6-41E3-8930-2BDB83D20B51}" xr6:coauthVersionLast="47" xr6:coauthVersionMax="47" xr10:uidLastSave="{00000000-0000-0000-0000-000000000000}"/>
  <bookViews>
    <workbookView xWindow="57480" yWindow="-120" windowWidth="29040" windowHeight="15720" firstSheet="1" activeTab="1" xr2:uid="{224DA954-41CF-4EF5-8CBE-28C3F032249C}"/>
  </bookViews>
  <sheets>
    <sheet name="hidden" sheetId="10" state="hidden" r:id="rId1"/>
    <sheet name="Ⅰ. 표지" sheetId="1" r:id="rId2"/>
    <sheet name="Ⅱ. 개요" sheetId="2" r:id="rId3"/>
    <sheet name="Ⅲ. 점검대상" sheetId="3" r:id="rId4"/>
    <sheet name="Ⅳ. 보안점검 결과" sheetId="5" r:id="rId5"/>
    <sheet name="대응방안" sheetId="7" state="hidden" r:id="rId6"/>
    <sheet name="Ⅳ. 보안점검 총평" sheetId="9" r:id="rId7"/>
    <sheet name="Ⅴ. 이행점검 결과" sheetId="8" r:id="rId8"/>
    <sheet name="Ⅴ. 이행점검 총평" sheetId="11" r:id="rId9"/>
    <sheet name="template" sheetId="4" r:id="rId10"/>
  </sheets>
  <externalReferences>
    <externalReference r:id="rId11"/>
    <externalReference r:id="rId12"/>
  </externalReferences>
  <definedNames>
    <definedName name="_xlnm.Print_Area" localSheetId="1">'Ⅰ. 표지'!$A$1:$N$32</definedName>
    <definedName name="_xlnm.Print_Area" localSheetId="3">'Ⅲ. 점검대상'!$A$1:$I$33</definedName>
    <definedName name="_xlnm.Print_Area" localSheetId="6">'Ⅳ. 보안점검 총평'!$A$1:$Z$34</definedName>
    <definedName name="_xlnm.Print_Area" localSheetId="8">'Ⅴ. 이행점검 총평'!$A$1:$Z$34</definedName>
    <definedName name="_xlnm.Print_Area" localSheetId="9">template!$A$1:$N$105</definedName>
    <definedName name="고객사">"TextBox 5"</definedName>
    <definedName name="보안점검결과요약_대상">OFFSET([1]hidden!$N$26,0,0,COUNTA([1]hidden!$B$26:$B$45))</definedName>
    <definedName name="보안점검결과요약_취약개수">OFFSET([1]hidden!$O$26,0,0,COUNTA([1]hidden!$C$26:$C$45))</definedName>
    <definedName name="보안점검결과총평_대상">OFFSET([1]hidden!$B$26,0,0,COUNTA([1]hidden!$B$26:$B$30))</definedName>
    <definedName name="보안점검결과총평_점수">OFFSET([1]hidden!$D$26,0,0,COUNTA([1]hidden!$D$26:$D$30))</definedName>
    <definedName name="보안점검결과총평_평균">OFFSET([1]hidden!$E$26,0,0,COUNTA([1]hidden!$E$26:$E$30))</definedName>
    <definedName name="이행점검결과요약_대상">OFFSET([1]hidden!$Q$26,0,0,COUNTA([1]hidden!$G$26:$G$45))</definedName>
    <definedName name="이행점검결과요약_취약개수">OFFSET([1]hidden!$R$26,0,0,COUNTA([1]hidden!$H$26:$H$45))</definedName>
    <definedName name="이행점검결과총평_대상">OFFSET([1]hidden!$G$26,0,0,COUNTA([1]hidden!$G$26:$G$30))</definedName>
    <definedName name="이행점검결과총평_보안점수">OFFSET([1]hidden!$K$26,0,0,COUNTA([1]hidden!$G$26:$G$30))</definedName>
    <definedName name="이행점검결과총평_이행점수">OFFSET([1]hidden!$I$26,0,0,COUNTA([1]hidden!$I$26:$I$30))</definedName>
    <definedName name="이행점검결과총평_평균">OFFSET([1]hidden!$J$26,0,0,COUNTA([1]hidden!$J$26:$J$30))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0" l="1"/>
  <c r="B17" i="10"/>
  <c r="B16" i="10"/>
  <c r="B15" i="10"/>
  <c r="B14" i="10"/>
  <c r="A14" i="10" a="1"/>
  <c r="A14" i="10" s="1"/>
  <c r="A15" i="10" s="1" a="1"/>
  <c r="A15" i="10" s="1"/>
  <c r="B13" i="10"/>
  <c r="A13" i="10"/>
  <c r="C9" i="11"/>
  <c r="C6" i="11"/>
  <c r="A5" i="10" a="1"/>
  <c r="A5" i="10" s="1"/>
  <c r="A4" i="10"/>
  <c r="B8" i="10"/>
  <c r="B7" i="10"/>
  <c r="B6" i="10"/>
  <c r="B5" i="10"/>
  <c r="B4" i="10"/>
  <c r="B2" i="10"/>
  <c r="C9" i="9"/>
  <c r="C6" i="9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75" i="5" s="1"/>
  <c r="F10" i="5"/>
  <c r="F9" i="5"/>
  <c r="F74" i="5" s="1"/>
  <c r="F8" i="5"/>
  <c r="F7" i="5"/>
  <c r="F6" i="5"/>
  <c r="F5" i="5"/>
  <c r="F73" i="5" s="1"/>
  <c r="F72" i="8"/>
  <c r="F6" i="8"/>
  <c r="F7" i="8"/>
  <c r="F8" i="8"/>
  <c r="F9" i="8"/>
  <c r="F10" i="8"/>
  <c r="F11" i="8"/>
  <c r="F12" i="8"/>
  <c r="F13" i="8"/>
  <c r="F14" i="8"/>
  <c r="F15" i="8"/>
  <c r="F75" i="8" s="1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74" i="8" s="1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5" i="8"/>
  <c r="F73" i="8"/>
  <c r="A16" i="10" l="1" a="1"/>
  <c r="A16" i="10" s="1"/>
  <c r="A17" i="10" s="1" a="1"/>
  <c r="A17" i="10" s="1"/>
  <c r="A6" i="10" a="1"/>
  <c r="A6" i="10" s="1"/>
  <c r="F72" i="5"/>
  <c r="A7" i="10" l="1" a="1"/>
  <c r="A7" i="10" s="1"/>
  <c r="A8" i="10" s="1" a="1"/>
  <c r="A8" i="10" s="1"/>
  <c r="B5" i="2"/>
  <c r="Q79" i="4"/>
  <c r="P79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12" i="4"/>
  <c r="G13" i="4"/>
  <c r="G14" i="4"/>
  <c r="G15" i="4"/>
  <c r="J15" i="4" s="1"/>
  <c r="G16" i="4"/>
  <c r="J16" i="4" s="1"/>
  <c r="G17" i="4"/>
  <c r="J17" i="4" s="1"/>
  <c r="G18" i="4"/>
  <c r="J18" i="4" s="1"/>
  <c r="G19" i="4"/>
  <c r="J19" i="4" s="1"/>
  <c r="G20" i="4"/>
  <c r="J20" i="4" s="1"/>
  <c r="G21" i="4"/>
  <c r="J21" i="4" s="1"/>
  <c r="G22" i="4"/>
  <c r="J22" i="4" s="1"/>
  <c r="G23" i="4"/>
  <c r="J23" i="4" s="1"/>
  <c r="G24" i="4"/>
  <c r="J24" i="4" s="1"/>
  <c r="G25" i="4"/>
  <c r="G26" i="4"/>
  <c r="G27" i="4"/>
  <c r="G28" i="4"/>
  <c r="G29" i="4"/>
  <c r="J29" i="4" s="1"/>
  <c r="G30" i="4"/>
  <c r="J30" i="4" s="1"/>
  <c r="G31" i="4"/>
  <c r="G32" i="4"/>
  <c r="J32" i="4" s="1"/>
  <c r="G33" i="4"/>
  <c r="J33" i="4" s="1"/>
  <c r="G34" i="4"/>
  <c r="J34" i="4" s="1"/>
  <c r="G35" i="4"/>
  <c r="J35" i="4" s="1"/>
  <c r="G36" i="4"/>
  <c r="J36" i="4" s="1"/>
  <c r="G37" i="4"/>
  <c r="G38" i="4"/>
  <c r="G39" i="4"/>
  <c r="J39" i="4" s="1"/>
  <c r="G40" i="4"/>
  <c r="J40" i="4" s="1"/>
  <c r="G41" i="4"/>
  <c r="J41" i="4" s="1"/>
  <c r="G42" i="4"/>
  <c r="J42" i="4" s="1"/>
  <c r="G43" i="4"/>
  <c r="J43" i="4" s="1"/>
  <c r="G44" i="4"/>
  <c r="J44" i="4" s="1"/>
  <c r="G45" i="4"/>
  <c r="J45" i="4" s="1"/>
  <c r="G46" i="4"/>
  <c r="J46" i="4" s="1"/>
  <c r="G47" i="4"/>
  <c r="J47" i="4" s="1"/>
  <c r="G48" i="4"/>
  <c r="J48" i="4" s="1"/>
  <c r="G49" i="4"/>
  <c r="G50" i="4"/>
  <c r="G51" i="4"/>
  <c r="G52" i="4"/>
  <c r="J52" i="4" s="1"/>
  <c r="G53" i="4"/>
  <c r="J53" i="4" s="1"/>
  <c r="G54" i="4"/>
  <c r="J54" i="4" s="1"/>
  <c r="G55" i="4"/>
  <c r="J55" i="4" s="1"/>
  <c r="G56" i="4"/>
  <c r="J56" i="4" s="1"/>
  <c r="G57" i="4"/>
  <c r="J57" i="4" s="1"/>
  <c r="G58" i="4"/>
  <c r="J58" i="4" s="1"/>
  <c r="G59" i="4"/>
  <c r="G60" i="4"/>
  <c r="J60" i="4" s="1"/>
  <c r="G61" i="4"/>
  <c r="J61" i="4" s="1"/>
  <c r="G62" i="4"/>
  <c r="G63" i="4"/>
  <c r="J63" i="4" s="1"/>
  <c r="G64" i="4"/>
  <c r="J64" i="4" s="1"/>
  <c r="G65" i="4"/>
  <c r="J65" i="4" s="1"/>
  <c r="G66" i="4"/>
  <c r="J66" i="4" s="1"/>
  <c r="G67" i="4"/>
  <c r="J67" i="4" s="1"/>
  <c r="G68" i="4"/>
  <c r="J68" i="4" s="1"/>
  <c r="G69" i="4"/>
  <c r="J69" i="4" s="1"/>
  <c r="G70" i="4"/>
  <c r="J70" i="4" s="1"/>
  <c r="G71" i="4"/>
  <c r="J71" i="4" s="1"/>
  <c r="G72" i="4"/>
  <c r="J72" i="4" s="1"/>
  <c r="G73" i="4"/>
  <c r="J73" i="4" s="1"/>
  <c r="G74" i="4"/>
  <c r="G75" i="4"/>
  <c r="G76" i="4"/>
  <c r="J76" i="4" s="1"/>
  <c r="G77" i="4"/>
  <c r="J77" i="4" s="1"/>
  <c r="G78" i="4"/>
  <c r="J78" i="4" s="1"/>
  <c r="J59" i="4"/>
  <c r="J51" i="4"/>
  <c r="G12" i="4"/>
  <c r="J14" i="4"/>
  <c r="J26" i="4"/>
  <c r="J38" i="4"/>
  <c r="J50" i="4"/>
  <c r="J62" i="4"/>
  <c r="J74" i="4"/>
  <c r="J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12" i="4"/>
  <c r="J13" i="4"/>
  <c r="J25" i="4"/>
  <c r="J27" i="4"/>
  <c r="J28" i="4"/>
  <c r="J31" i="4"/>
  <c r="J37" i="4"/>
  <c r="J49" i="4"/>
  <c r="J75" i="4"/>
  <c r="I79" i="4"/>
  <c r="G79" i="4" l="1"/>
  <c r="J79" i="4"/>
  <c r="K79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<sst xmlns="http://schemas.openxmlformats.org/spreadsheetml/2006/main" count="1077" uniqueCount="360">
  <si>
    <t>Ⅲ. 점검 대상</t>
    <phoneticPr fontId="1" type="noConversion"/>
  </si>
  <si>
    <t>서버명</t>
    <phoneticPr fontId="1" type="noConversion"/>
  </si>
  <si>
    <t>IP Address</t>
    <phoneticPr fontId="1" type="noConversion"/>
  </si>
  <si>
    <t>OS/Version</t>
  </si>
  <si>
    <t>OS/Version</t>
    <phoneticPr fontId="1" type="noConversion"/>
  </si>
  <si>
    <t>비고</t>
    <phoneticPr fontId="1" type="noConversion"/>
  </si>
  <si>
    <t>서버이름</t>
    <phoneticPr fontId="9" type="noConversion"/>
  </si>
  <si>
    <t>HOSTNAME</t>
    <phoneticPr fontId="9" type="noConversion"/>
  </si>
  <si>
    <t>담당부서/담당자</t>
    <phoneticPr fontId="1" type="noConversion"/>
  </si>
  <si>
    <t>IP Address</t>
    <phoneticPr fontId="9" type="noConversion"/>
  </si>
  <si>
    <t>구분</t>
  </si>
  <si>
    <t>순번</t>
    <phoneticPr fontId="13" type="noConversion"/>
  </si>
  <si>
    <t>점검항목</t>
    <phoneticPr fontId="9" type="noConversion"/>
  </si>
  <si>
    <t>중요도</t>
    <phoneticPr fontId="13" type="noConversion"/>
  </si>
  <si>
    <t>1. 계정관리</t>
    <phoneticPr fontId="1" type="noConversion"/>
  </si>
  <si>
    <t>상</t>
    <phoneticPr fontId="1" type="noConversion"/>
  </si>
  <si>
    <t>중</t>
    <phoneticPr fontId="1" type="noConversion"/>
  </si>
  <si>
    <t>하</t>
    <phoneticPr fontId="1" type="noConversion"/>
  </si>
  <si>
    <t>2. 파일 및 디렉터리 관리</t>
    <phoneticPr fontId="1" type="noConversion"/>
  </si>
  <si>
    <t>3. 서비스 관리</t>
    <phoneticPr fontId="1" type="noConversion"/>
  </si>
  <si>
    <t>4. 패치 관리</t>
    <phoneticPr fontId="1" type="noConversion"/>
  </si>
  <si>
    <t>5. 로그 관리</t>
    <phoneticPr fontId="1" type="noConversion"/>
  </si>
  <si>
    <t>합계</t>
    <phoneticPr fontId="13" type="noConversion"/>
  </si>
  <si>
    <t>보안점검</t>
    <phoneticPr fontId="1" type="noConversion"/>
  </si>
  <si>
    <t>결과</t>
    <phoneticPr fontId="1" type="noConversion"/>
  </si>
  <si>
    <t>현황</t>
    <phoneticPr fontId="1" type="noConversion"/>
  </si>
  <si>
    <t>U-01</t>
    <phoneticPr fontId="1" type="noConversion"/>
  </si>
  <si>
    <t>U-02</t>
    <phoneticPr fontId="1" type="noConversion"/>
  </si>
  <si>
    <t>U-03</t>
  </si>
  <si>
    <t>U-04</t>
  </si>
  <si>
    <t>U-05</t>
  </si>
  <si>
    <t>U-06</t>
  </si>
  <si>
    <t>U-07</t>
  </si>
  <si>
    <t>U-08</t>
  </si>
  <si>
    <t>U-09</t>
  </si>
  <si>
    <t>U-10</t>
  </si>
  <si>
    <t>U-11</t>
  </si>
  <si>
    <t>U-12</t>
  </si>
  <si>
    <t>U-13</t>
  </si>
  <si>
    <t>U-14</t>
  </si>
  <si>
    <t>U-15</t>
  </si>
  <si>
    <t>U-16</t>
  </si>
  <si>
    <t>U-17</t>
  </si>
  <si>
    <t>U-18</t>
  </si>
  <si>
    <t>U-19</t>
  </si>
  <si>
    <t>U-20</t>
  </si>
  <si>
    <t>U-21</t>
  </si>
  <si>
    <t>U-22</t>
  </si>
  <si>
    <t>U-23</t>
  </si>
  <si>
    <t>U-24</t>
  </si>
  <si>
    <t>U-25</t>
  </si>
  <si>
    <t>U-26</t>
  </si>
  <si>
    <t>U-27</t>
  </si>
  <si>
    <t>U-28</t>
  </si>
  <si>
    <t>U-29</t>
  </si>
  <si>
    <t>U-30</t>
  </si>
  <si>
    <t>U-31</t>
  </si>
  <si>
    <t>U-32</t>
  </si>
  <si>
    <t>U-33</t>
  </si>
  <si>
    <t>U-34</t>
  </si>
  <si>
    <t>U-35</t>
  </si>
  <si>
    <t>U-36</t>
  </si>
  <si>
    <t>U-37</t>
  </si>
  <si>
    <t>U-38</t>
  </si>
  <si>
    <t>U-39</t>
  </si>
  <si>
    <t>U-40</t>
  </si>
  <si>
    <t>U-41</t>
  </si>
  <si>
    <t>U-42</t>
  </si>
  <si>
    <t>U-43</t>
  </si>
  <si>
    <t>U-44</t>
  </si>
  <si>
    <t>U-45</t>
  </si>
  <si>
    <t>U-46</t>
  </si>
  <si>
    <t>U-47</t>
  </si>
  <si>
    <t>U-48</t>
  </si>
  <si>
    <t>U-49</t>
  </si>
  <si>
    <t>U-50</t>
  </si>
  <si>
    <t>U-51</t>
  </si>
  <si>
    <t>U-52</t>
  </si>
  <si>
    <t>U-53</t>
  </si>
  <si>
    <t>U-54</t>
  </si>
  <si>
    <t>U-55</t>
  </si>
  <si>
    <t>U-56</t>
  </si>
  <si>
    <t>U-57</t>
  </si>
  <si>
    <t>U-58</t>
  </si>
  <si>
    <t>U-59</t>
  </si>
  <si>
    <t>U-60</t>
  </si>
  <si>
    <t>U-61</t>
  </si>
  <si>
    <t>U-62</t>
  </si>
  <si>
    <t>U-63</t>
  </si>
  <si>
    <t>U-64</t>
  </si>
  <si>
    <t>U-65</t>
  </si>
  <si>
    <t>U-66</t>
  </si>
  <si>
    <t>U-67</t>
  </si>
  <si>
    <t>점수</t>
    <phoneticPr fontId="1" type="noConversion"/>
  </si>
  <si>
    <t>점검기준</t>
    <phoneticPr fontId="1" type="noConversion"/>
  </si>
  <si>
    <t>점수</t>
    <phoneticPr fontId="13" type="noConversion"/>
  </si>
  <si>
    <t>인터뷰 사항</t>
    <phoneticPr fontId="1" type="noConversion"/>
  </si>
  <si>
    <t>권고사항</t>
  </si>
  <si>
    <t>담당자 의견</t>
    <phoneticPr fontId="1" type="noConversion"/>
  </si>
  <si>
    <t>root 계정 원격 접속 제한</t>
    <phoneticPr fontId="1" type="noConversion"/>
  </si>
  <si>
    <t>[양호] 원격터미널 서비스를 사용하지 않거나, 사용 시 root 직접 접속을 차단한 경우
[취약] 원격터미널 서비스 사용 시 root 직접 접속을 허용한 경우</t>
    <phoneticPr fontId="1" type="noConversion"/>
  </si>
  <si>
    <t>양호</t>
  </si>
  <si>
    <t>비밀번호 관리정책 설정</t>
    <phoneticPr fontId="1" type="noConversion"/>
  </si>
  <si>
    <t>[양호] 비밀번호 관리 정책이 설정된 경우
[취약] 비밀번호 관리 정책이 설정되지 않은 경우</t>
    <phoneticPr fontId="1" type="noConversion"/>
  </si>
  <si>
    <t>계정 잠금 임계값 설정</t>
    <phoneticPr fontId="1" type="noConversion"/>
  </si>
  <si>
    <t>비밀번호 파일 보호</t>
    <phoneticPr fontId="1" type="noConversion"/>
  </si>
  <si>
    <t>root 이외의 UID가 '0' 금지</t>
    <phoneticPr fontId="1" type="noConversion"/>
  </si>
  <si>
    <t>사용자 계정 su 기능 제한</t>
    <phoneticPr fontId="1" type="noConversion"/>
  </si>
  <si>
    <t>불필요한 계정 제거</t>
    <phoneticPr fontId="1" type="noConversion"/>
  </si>
  <si>
    <t>관리자 그룹에 최소한의 계정 포함</t>
    <phoneticPr fontId="1" type="noConversion"/>
  </si>
  <si>
    <t>계정이 존재하지 않는 GID 금지</t>
    <phoneticPr fontId="1" type="noConversion"/>
  </si>
  <si>
    <t>동일한 UID 금지</t>
    <phoneticPr fontId="1" type="noConversion"/>
  </si>
  <si>
    <t>[양호] 동일한 UID로 설정된 사용자 계정이 존재하지 않는 경우
[취약] 동일한 UID로 설정된 사용자 계정이 존재하는 경우</t>
    <phoneticPr fontId="1" type="noConversion"/>
  </si>
  <si>
    <t>사용자 shell 점검</t>
    <phoneticPr fontId="1" type="noConversion"/>
  </si>
  <si>
    <t>[양호] 로그인이 필요하지 않은 계정에 /bin/false(/sbin/nologin) 쉘이 부여된 경우
[취약] 로그인이 필요하지 않은 계정에 /bin/false(/sbin/nologin) 쉘이 부여되지 않은 경우</t>
    <phoneticPr fontId="1" type="noConversion"/>
  </si>
  <si>
    <t>세션 종료 시간 설정</t>
    <phoneticPr fontId="1" type="noConversion"/>
  </si>
  <si>
    <t>안전한 비밀번호 암호화 알고리즘 사용</t>
    <phoneticPr fontId="1" type="noConversion"/>
  </si>
  <si>
    <t>root 홈, 패스 디렉터리 권한 및 패스 설정</t>
    <phoneticPr fontId="1" type="noConversion"/>
  </si>
  <si>
    <t>파일 및 디렉터리 소유자 설정</t>
    <phoneticPr fontId="1" type="noConversion"/>
  </si>
  <si>
    <t>/etc/passwd 파일 소유자 및 권한 설정</t>
    <phoneticPr fontId="1" type="noConversion"/>
  </si>
  <si>
    <t>시스템 시작 스크립트 권한 설정</t>
    <phoneticPr fontId="1" type="noConversion"/>
  </si>
  <si>
    <t>/etc/shadow 파일의 소유자가 root이고, 권한이 400 이하인 경우</t>
    <phoneticPr fontId="1" type="noConversion"/>
  </si>
  <si>
    <t>/etc/hosts 파일 소유자 및 권한 설정</t>
    <phoneticPr fontId="1" type="noConversion"/>
  </si>
  <si>
    <t>/etc/(x)inetd.conf 파일 소유자 및 권한 설정</t>
    <phoneticPr fontId="1" type="noConversion"/>
  </si>
  <si>
    <t>/etc/(r)syslog.conf 파일 소유자 및 권한 설정</t>
    <phoneticPr fontId="1" type="noConversion"/>
  </si>
  <si>
    <t>/etc/services 파일 소유자 및 권한 설정</t>
    <phoneticPr fontId="1" type="noConversion"/>
  </si>
  <si>
    <t>SUID, SGID, Sticky bit 설정 파일 점검</t>
    <phoneticPr fontId="1" type="noConversion"/>
  </si>
  <si>
    <t>사용자, 시스템 환경변수 파일 소유자 및 권한 설정</t>
    <phoneticPr fontId="1" type="noConversion"/>
  </si>
  <si>
    <t>world writable 파일 점검</t>
    <phoneticPr fontId="1" type="noConversion"/>
  </si>
  <si>
    <t>/dev에 존재하지 않는 device 파일 점검</t>
    <phoneticPr fontId="1" type="noConversion"/>
  </si>
  <si>
    <t>$HOME/.rhosts, hosts.equiv 사용 금지</t>
    <phoneticPr fontId="1" type="noConversion"/>
  </si>
  <si>
    <t>접속 IP 및 포트 제한</t>
    <phoneticPr fontId="1" type="noConversion"/>
  </si>
  <si>
    <t>hosts.lpd 파일 소유자 및 권한 설정</t>
    <phoneticPr fontId="1" type="noConversion"/>
  </si>
  <si>
    <t>UMASK 설정 관리</t>
    <phoneticPr fontId="1" type="noConversion"/>
  </si>
  <si>
    <t>홈디렉토리 소유자 및 권한 설정</t>
    <phoneticPr fontId="1" type="noConversion"/>
  </si>
  <si>
    <t>홈 디렉토리로 지정한 디렉토리의 존재 관리</t>
    <phoneticPr fontId="1" type="noConversion"/>
  </si>
  <si>
    <t>숨겨진 파일 및 디렉토리 검색 및 제거</t>
    <phoneticPr fontId="1" type="noConversion"/>
  </si>
  <si>
    <t>Finger 서비스 비활성화</t>
    <phoneticPr fontId="1" type="noConversion"/>
  </si>
  <si>
    <t>공유 서비스에 대한 익명 접근 제한 설정</t>
    <phoneticPr fontId="1" type="noConversion"/>
  </si>
  <si>
    <t>r 계열 서비스 비활성화</t>
    <phoneticPr fontId="1" type="noConversion"/>
  </si>
  <si>
    <t>crontab 설정파일 권한 설정 미흡</t>
    <phoneticPr fontId="1" type="noConversion"/>
  </si>
  <si>
    <t>DoS 공격에 취약한 서비스 비활성화</t>
    <phoneticPr fontId="1" type="noConversion"/>
  </si>
  <si>
    <t>불필요한 NFS 서비스 비활성화</t>
    <phoneticPr fontId="1" type="noConversion"/>
  </si>
  <si>
    <t>[양호] 불필요한 NFS 서비스 관련 데몬이 비활성화된 경우
[취약] 불필요한 NFS 서비스 관련 데몬이 활성화된 경우</t>
    <phoneticPr fontId="1" type="noConversion"/>
  </si>
  <si>
    <t>NFS 접근 통제</t>
    <phoneticPr fontId="1" type="noConversion"/>
  </si>
  <si>
    <t>불필요한 automountd 제거</t>
    <phoneticPr fontId="1" type="noConversion"/>
  </si>
  <si>
    <t>불필요한 RPC 서비스 비활성화</t>
    <phoneticPr fontId="1" type="noConversion"/>
  </si>
  <si>
    <t>NIS, NIS+ 점검</t>
    <phoneticPr fontId="1" type="noConversion"/>
  </si>
  <si>
    <t>tftp, talk 서비스 비활성화</t>
    <phoneticPr fontId="1" type="noConversion"/>
  </si>
  <si>
    <t>메일 서비스 버전 점검</t>
    <phoneticPr fontId="1" type="noConversion"/>
  </si>
  <si>
    <t>[양호] 메일 서비스 버전이 최신 버전인 경우
[취약] 메일 서비스 버전이 최신 버전이 아닌 경우</t>
    <phoneticPr fontId="1" type="noConversion"/>
  </si>
  <si>
    <t>일반 사용자의 메일 서비스 실행 방지</t>
    <phoneticPr fontId="1" type="noConversion"/>
  </si>
  <si>
    <t>스팸 메일 릴레이 제한</t>
    <phoneticPr fontId="1" type="noConversion"/>
  </si>
  <si>
    <t>expn, vrfy 명령어 제한</t>
    <phoneticPr fontId="1" type="noConversion"/>
  </si>
  <si>
    <t>[양호] noexpn, novrfy 옵션이 설정된 경우
[취약] noexpn, novrfy 옵션이 설정되어 있지 않은 경우</t>
    <phoneticPr fontId="1" type="noConversion"/>
  </si>
  <si>
    <t>DNS 보안 버전 패치</t>
    <phoneticPr fontId="1" type="noConversion"/>
  </si>
  <si>
    <t>[양호] 주기적으로 패치를 관리하는 경우
[취약] 주기적으로 패치를 관리하고 있지 않은 경우</t>
    <phoneticPr fontId="1" type="noConversion"/>
  </si>
  <si>
    <t>DNS ZoneTransfer 설정</t>
    <phoneticPr fontId="1" type="noConversion"/>
  </si>
  <si>
    <t>[양호] Zone Transfer를 허가된 사용자에게만 허용한 경우
[취약] Zone Transfer를 모든 사용자에게 허용한 경우</t>
    <phoneticPr fontId="1" type="noConversion"/>
  </si>
  <si>
    <t>DNS 서비스의 취약한 동적 업데이트 설정 금지</t>
    <phoneticPr fontId="1" type="noConversion"/>
  </si>
  <si>
    <t>Telnet 서비스 비활성화</t>
    <phoneticPr fontId="1" type="noConversion"/>
  </si>
  <si>
    <t>FTP 서비스 정보 노출 제한</t>
    <phoneticPr fontId="1" type="noConversion"/>
  </si>
  <si>
    <t>암호화되지 않는 FTP 서비스 비활성화</t>
    <phoneticPr fontId="1" type="noConversion"/>
  </si>
  <si>
    <t>FTP 계정 shell 제한</t>
    <phoneticPr fontId="1" type="noConversion"/>
  </si>
  <si>
    <t>[양호] FTP 계정에 /bin/false(/sbin/nologin) 쉘이 부여된 경우
[취약] FTP 계정에 /bin/false(/sbin/nologin) 쉘이 부여되어 있지 않은 경우</t>
    <phoneticPr fontId="1" type="noConversion"/>
  </si>
  <si>
    <t>FTP 서비스 접근 제어 설정</t>
    <phoneticPr fontId="1" type="noConversion"/>
  </si>
  <si>
    <t>[양호] 특정 IP주소 또는 호스트에서만 FTP 서버에 접속할 수 있도록 접근 제어 설정을 적용한 경우
[취약] FTP 서버에 접근 제어 설정을 적용하지 않은 경우</t>
    <phoneticPr fontId="1" type="noConversion"/>
  </si>
  <si>
    <t>Ftpusers 파일 설정</t>
    <phoneticPr fontId="1" type="noConversion"/>
  </si>
  <si>
    <t>불필요한 SNMP 서비스 구동 점검</t>
    <phoneticPr fontId="1" type="noConversion"/>
  </si>
  <si>
    <t>[양호] SNMP 서비스를 사용하지 않는 경우
[취약] SNMP 서비스를 사용하는 경우</t>
    <phoneticPr fontId="1" type="noConversion"/>
  </si>
  <si>
    <t>안전한 SNMP 버전 사용</t>
    <phoneticPr fontId="1" type="noConversion"/>
  </si>
  <si>
    <t>[양호] SNMP 서비스를 v3 이상으로 사용하는 경우
[취약] SNMP 서비스를 v2 이하로 사용하는 경우</t>
    <phoneticPr fontId="1" type="noConversion"/>
  </si>
  <si>
    <t>SNMP Community String 복잡성 설정</t>
    <phoneticPr fontId="1" type="noConversion"/>
  </si>
  <si>
    <t>SNMP Access Control 설정</t>
    <phoneticPr fontId="1" type="noConversion"/>
  </si>
  <si>
    <t>로그인 시 경고 메시지 설정</t>
    <phoneticPr fontId="1" type="noConversion"/>
  </si>
  <si>
    <t>sudo 명령어 접근 관리</t>
    <phoneticPr fontId="1" type="noConversion"/>
  </si>
  <si>
    <t>주기적 보안 패치 및 벤더 권고사항 적용</t>
    <phoneticPr fontId="1" type="noConversion"/>
  </si>
  <si>
    <t>NTP 및 시각 동기화 설정</t>
    <phoneticPr fontId="1" type="noConversion"/>
  </si>
  <si>
    <t>정책에 따른 시스템 로깅 설정</t>
    <phoneticPr fontId="1" type="noConversion"/>
  </si>
  <si>
    <t>로그 디렉터리 소유자 및 권한 설정</t>
    <phoneticPr fontId="1" type="noConversion"/>
  </si>
  <si>
    <t>[양호] 소유자가 존재하지 않는 파일 및 디렉터리가 존재하지 않는 경우
[취약] 소유자가 존재하지 않는 파일 및 디렉터리가 존재하는 경우</t>
    <phoneticPr fontId="1" type="noConversion"/>
  </si>
  <si>
    <t>[양호] 계정 잠금 임계값이 10회 이하의 값으로 설정된 경우
[취약] 계정 잠금 임계값이 설정되어 있지 않거나, 10회 이하의 값으로 설정되지 않은 경우</t>
    <phoneticPr fontId="1" type="noConversion"/>
  </si>
  <si>
    <t>[양호] 쉐도우 비밀번호를 사용하거나, 비밀번호를 암호화하여 저장하는 경우
[취약] 쉐도우 비밀번호를 사용하지 않고, 비밀번호를 암호화하여 저장하지 않는 경우</t>
    <phoneticPr fontId="1" type="noConversion"/>
  </si>
  <si>
    <t>[양호] root 계정과 동일한 UID를 갖는 계정이 존재하지 않는 경우
[취약] root 계정과 동일한 UID를 갖는 계정이 존재하는 경우</t>
    <phoneticPr fontId="1" type="noConversion"/>
  </si>
  <si>
    <t>[양호] su 명령어를 특정 그룹에 속한 사용자만 사용하도록 제한된 경우
※ 일반 사용자 계정 없이 root 계정만 사용하는 경우 su 명령어 사용 제한 불필요
[취약] su 명령어를 모든 사용자가 사용하도록 설정된 경우</t>
    <phoneticPr fontId="1" type="noConversion"/>
  </si>
  <si>
    <t>[양호] 불필요한 계정이 존재하지 않는 경우
[취약] 불필요한 계정이 존재하는 경우</t>
    <phoneticPr fontId="1" type="noConversion"/>
  </si>
  <si>
    <t>[양호] 관리자 그룹에 불필요한 계정이 등록되어 있지 않은 경우
[취약] 관리자 그룹에 불필요한 계정이 등록된 경우</t>
    <phoneticPr fontId="1" type="noConversion"/>
  </si>
  <si>
    <t>[양호] 시스템 관리나 운용에 불필요한 그룹이 제거된 경우
[취약] 시스템 관리나 운용에 불필요한 그룹이 존재하는 경우</t>
    <phoneticPr fontId="1" type="noConversion"/>
  </si>
  <si>
    <t>[양호] Session Timeout이 600초(10분) 이하로 설정된 경우
[취약] Session Timeout이 600초(10분) 이하로 설정되지 않은 경우</t>
    <phoneticPr fontId="1" type="noConversion"/>
  </si>
  <si>
    <t>[양호] SHA-2 이상의 안전한 비밀번호 암호화 알고리즘을 사용하는 경우
[취약] 취약한 비밀번호 암호화 알고리즘을 사용하는 경우</t>
    <phoneticPr fontId="1" type="noConversion"/>
  </si>
  <si>
    <t>[양호] PATH 환경변수에 “.” 이 맨 앞이나 중간에 포함되지 않은 경우
[취약] PATH 환경변수에 “.” 이 맨 앞이나 중간에 포함된 경우</t>
    <phoneticPr fontId="1" type="noConversion"/>
  </si>
  <si>
    <t>[양호] /etc/passwd 파일의 소유자가 root이고, 권한이 644 이하인 경우
[취약] /etc/passwd 파일의 소유자가 root가 아니거나, 권한이 644 이하가 아닌 경우</t>
    <phoneticPr fontId="1" type="noConversion"/>
  </si>
  <si>
    <t>[양호] 시스템 시작 스크립트 파일의 소유자가 root이고, 일반 사용자의 쓰기 권한이 제거된 경우
[취약] 시스템 시작 스크립트 파일의 소유자가 root가 아니거나, 일반 사용자의 쓰기 권한이 부여된 경우</t>
    <phoneticPr fontId="1" type="noConversion"/>
  </si>
  <si>
    <t>[양호] /etc/shadow 파일의 소유자가 root이고, 권한이 400 이하인 경우
[취약] /etc/shadow 파일의 소유자가 root가 아니거나, 권한이 400 이하가 아닌 경우</t>
    <phoneticPr fontId="1" type="noConversion"/>
  </si>
  <si>
    <t>[양호] /etc/hosts 파일의 소유자가 root이고, 권한이 644 이하인 경우
[취약] /etc/hosts 파일의 소유자가 root가 아니거나, 권한이 644 이하가 아닌 경우</t>
    <phoneticPr fontId="1" type="noConversion"/>
  </si>
  <si>
    <t>[양호] /etc/(x)inetd.conf 파일의 소유자가 root이고, 권한이 600 이하인 경우
[취약] /etc/(x)inetd.conf 파일의 소유자가 root가 아니거나, 권한이 600 이하가 아닌 경우</t>
    <phoneticPr fontId="1" type="noConversion"/>
  </si>
  <si>
    <t>[양호] /etc/(r)syslog.conf 파일의 소유자가 root(또는 bin, sys)이고, 권한이 640 이하인 경우
[취약] /etc/(r)syslog.conf 파일의 소유자가 root(또는 bin, sys)가 아니거나, 권한이 640 이하가 아닌 경우</t>
    <phoneticPr fontId="1" type="noConversion"/>
  </si>
  <si>
    <t>[양호] /etc/services 파일의 소유자가 root(또는 bin, sys)이고, 권한이 644 이하인 경우
[취약] /etc/services 파일의 소유자가 root(또는 bin, sys)가 아니거나, 권한이 644 이하가 아닌 경우</t>
    <phoneticPr fontId="1" type="noConversion"/>
  </si>
  <si>
    <t>[양호] 주요 실행 파일의 권한에 SUID와 SGID에 대한 설정이 부여되어 있지 않은 경우
[취약] 주요 실행 파일의 권한에 SUID와 SGID에 대한 설정이 부여된 경우</t>
    <phoneticPr fontId="1" type="noConversion"/>
  </si>
  <si>
    <t>[양호] 홈 디렉터리 환경변수 파일 소유자가 root 또는 해당 계정으로 지정되어 있고, 홈 디렉터리 환경변수 파일에 root 계정과 소유자만 쓰기 권한이 부여된 경우
[취약] 홈 디렉터리 환경변수 파일 소유자가 root 또는 해당 계정으로 지정되지 않거나, 홈 디렉터리 환경변수 파일에 root 계정과 소유자 외에 쓰기 권한이 부여된 경우</t>
    <phoneticPr fontId="1" type="noConversion"/>
  </si>
  <si>
    <t>[양호] world writable 파일이 존재하지 않거나, 존재 시 설정 이유를 인지하고 있는 경우
[취약] world writable 파일이 존재하나 설정 이유를 인지하지 못하고 있는 경우</t>
    <phoneticPr fontId="1" type="noConversion"/>
  </si>
  <si>
    <t>[양호] /dev 디렉터리에 대한 파일 점검 후 존재하지 않는 device 파일을 제거한 경우
[취약] /dev 디렉터리에 대한 파일 미점검 또는 존재하지 않는 device 파일을 방치한 경우</t>
    <phoneticPr fontId="1" type="noConversion"/>
  </si>
  <si>
    <t>[양호] rlogin, rsh, rexec 서비스를 사용하지 않거나, 사용 시 아래와 같은 설정이 적용된 경우
1. /etc/hosts.equiv 및 $HOME/.rhosts 파일 소유자가 root 또는 해당 계정인 경우
2. /etc/hosts.equiv 및 $HOME/.rhosts 파일 권한이 600 이하인 경우
3. /etc/hosts.equiv 및 $HOME/.rhosts 파일 설정에 “+” 설정이 없는 경우
[취약] rlogin, rsh, rexec 서비스를 사용하며 아래와 같은 설정이 적용되지 않은 경우
1. /etc/hosts.equiv 및 $HOME/.rhosts 파일 소유자가 root 또는 해당 계정이 아닌 경우
2. /etc/hosts.equiv 및 $HOME/.rhosts 파일 권한이 600을 초과한 경우
3. /etc/hosts.equiv 및 $HOME/.rhosts 파일 설정에 “+” 설정이 존재하는 경우</t>
    <phoneticPr fontId="1" type="noConversion"/>
  </si>
  <si>
    <t>[양호] 접속을 허용할 특정 호스트에 대한 IP주소 및 포트 제한을 설정한 경우
[취약] 접속을 허용할 특정 호스트에 대한 IP주소 및 포트 제한을 설정하지 않은 경우</t>
    <phoneticPr fontId="1" type="noConversion"/>
  </si>
  <si>
    <t>[양호] /etc/hosts.lpd 파일이 존재하지 않거나, 불가피하게 사용 시 /etc/hosts.lpd 파일의 소유자가 root이고, 권한이 600 이하인 경우
[취약] /etc/hosts.lpd 파일이 존재하며, 파일의 소유자가 root가 아니거나, 권한이 600 이하가 아닌 경우</t>
    <phoneticPr fontId="1" type="noConversion"/>
  </si>
  <si>
    <t>[양호] UMASK 값이 022 이상으로 설정된 경우
[취약] UMASK 값이 022 미만으로 설정된 경우</t>
    <phoneticPr fontId="1" type="noConversion"/>
  </si>
  <si>
    <t>[양호] 홈 디렉토리 소유자가 해당 계정이고, 타 사용자 쓰기 권한이 제거된 경우
[취약] 홈 디렉토리 소유자가 해당 계정이 아니거나, 타 사용자 쓰기 권한이 부여된 경우</t>
    <phoneticPr fontId="1" type="noConversion"/>
  </si>
  <si>
    <t>[양호] 홈 디렉토리가 존재하지 않는 계정이 발견되지 않는 경우
[취약] 홈 디렉토리가 존재하지 않는 계정이 발견된 경우</t>
    <phoneticPr fontId="1" type="noConversion"/>
  </si>
  <si>
    <t>[양호] 불필요하거나 의심스러운 숨겨진 파일 및 디렉토리를 제거한 경우
[취약] 불필요하거나 의심스러운 숨겨진 파일 및 디렉토리를 제거하지 않은 경우</t>
    <phoneticPr fontId="1" type="noConversion"/>
  </si>
  <si>
    <t>[양호] Finger 서비스가 비활성화된 경우
[취약] Finger 서비스가 활성화된 경우</t>
    <phoneticPr fontId="1" type="noConversion"/>
  </si>
  <si>
    <t>[양호] 공유 서비스에 대해 익명 접근을 제한한 경우
[취약] 공유 서비스에 대해 익명 접근을 허용한 경우</t>
    <phoneticPr fontId="1" type="noConversion"/>
  </si>
  <si>
    <t>[양호] 불필요한 r 계열 서비스가 비활성화된 경우
[취약] 불필요한 r 계열 서비스가 활성화된 경우</t>
    <phoneticPr fontId="1" type="noConversion"/>
  </si>
  <si>
    <t>[양호] crontab 및 at 명령어에 일반 사용자 실행 권한이 제거되어 있으며, cron 및 at 관련 파일 권한이 640 이하인 경우
[취약] crontab 및 at 명령어에 일반 사용자 실행 권한이 부여되어 있으며, cron 및 at 관련 파일 권한이 640 이상인 경우</t>
    <phoneticPr fontId="1" type="noConversion"/>
  </si>
  <si>
    <t>[양호] DoS 공격에 취약한 서비스가 비활성화된 경우
[취약] DoS 공격에 취약한 서비스가 활성화된 경우</t>
    <phoneticPr fontId="1" type="noConversion"/>
  </si>
  <si>
    <t>[양호] 접근 통제가 설정되어 있으며 NFS 설정 파일 접근 권한이 644 이하인 경우
[취약] 접근 통제가 설정되어 있지 않고 NFS 설정 파일 접근 권한이 644를 초과하는 경우</t>
    <phoneticPr fontId="1" type="noConversion"/>
  </si>
  <si>
    <t>[양호] automountd 서비스가 비활성화된 경우
[취약] automountd 서비스가 활성화된 경우</t>
    <phoneticPr fontId="1" type="noConversion"/>
  </si>
  <si>
    <t>[양호] 불필요한 RPC 서비스가 비활성화된 경우
[취약] 불필요한 RPC 서비스가 활성화된 경우</t>
    <phoneticPr fontId="1" type="noConversion"/>
  </si>
  <si>
    <t>[양호] NIS 서비스가 비활성화되어 있거나, 불가피하게 사용 시 NIS+ 서비스를 사용하는 경우
[취약] NIS 서비스가 활성화된 경우</t>
    <phoneticPr fontId="1" type="noConversion"/>
  </si>
  <si>
    <t>[양호] tftp, talk, ntalk 서비스가 비활성화된 경우
[취약] tftp, talk, ntalk 서비스가 활성화된 경우</t>
    <phoneticPr fontId="1" type="noConversion"/>
  </si>
  <si>
    <t>[양호] 일반 사용자의 메일 서비스 실행 방지가 설정된 경우
[취약] 일반 사용자의 메일 서비스 실행 방지가 설정되어 있지 않은 경우</t>
    <phoneticPr fontId="1" type="noConversion"/>
  </si>
  <si>
    <t>[양호] 릴레이 제한이 설정된 경우
[취약] 릴레이 제한이 설정되어 있지 않은 경우</t>
    <phoneticPr fontId="1" type="noConversion"/>
  </si>
  <si>
    <t>[양호] DNS 서비스의 동적 업데이트 기능이 비활성화되었거나, 활성화 시 적절한 접근통제를 수행하고 있는 경우
[취약] DNS 서비스의 동적 업데이트 기능이 활성화 중이며 적절한 접근통제를 수행하고 있지 않은 경우</t>
    <phoneticPr fontId="1" type="noConversion"/>
  </si>
  <si>
    <t>[양호] 원격 접속 시 Telnet 프로토콜을 비활성화하고 있는 경우
[취약] 원격 접속 시 Telnet 프로토콜을 사용하는 경우</t>
    <phoneticPr fontId="1" type="noConversion"/>
  </si>
  <si>
    <t>[양호] FTP 접속 배너에 노출되는 정보가 없는 경우
[취약] FTP 접속 배너에 노출되는 정보가 있는 경우</t>
    <phoneticPr fontId="1" type="noConversion"/>
  </si>
  <si>
    <t>[양호] 암호화되지 않은 FTP 서비스가 비활성화된 경우
[취약] 암호화되지 않은 FTP 서비스가 활성화된 경우</t>
    <phoneticPr fontId="1" type="noConversion"/>
  </si>
  <si>
    <t>[양호] root 계정 접속을 차단한 경우
[취약] root 계정 접속을 허용한 경우</t>
    <phoneticPr fontId="1" type="noConversion"/>
  </si>
  <si>
    <t>[양호] SNMP Community String 기본값인 “public”, “private”이 아닌 영문자, 숫자 포함 10자리 이상 또는 영문자, 숫자, 특수문자 포함 8자리 이상인 경우
※ SNMP v3의 경우 별도 인증 기능을 사용하고, 해당 비밀번호가 복잡도를 만족하는 경우 양호
[취약] 아래의 내용 중 하나라도 해당되는 경우
1. SNMP Community String 기본값인 “public”, “private”일 경우
2. 영문자, 숫자 포함 10자리 미만인 경우
3. 영문자, 숫자, 특수문자 포함 8자리 미만인 경우</t>
    <phoneticPr fontId="1" type="noConversion"/>
  </si>
  <si>
    <t>[양호] SNMP 서비스에 접근 제어 설정이 되어 있는 경우
[취약] SNMP 서비스에 접근 제어 설정이 되어 있지 않은 경우</t>
    <phoneticPr fontId="1" type="noConversion"/>
  </si>
  <si>
    <t>[양호] 서버 및 Telnet, FTP, SMTP, DNS 서비스에 로그온 시 경고 메시지가 설정된 경우
[취약] 서버 및 Telnet, FTP, SMTP, DNS 서비스에 로그온 시 경고 메시지가 설정되어 있지 않은 경우</t>
    <phoneticPr fontId="1" type="noConversion"/>
  </si>
  <si>
    <t>[양호] /etc/sudoers 파일 소유자가 root이고, 파일 권한이 640인 경우
[취약] /etc/sudoers 파일 소유자가 root가 아니거나, 파일 권한이 640을 초과하는 경우</t>
    <phoneticPr fontId="1" type="noConversion"/>
  </si>
  <si>
    <t>[양호] 패치 적용 정책을 수립하여 주기적으로 패치 관리를 하고 있으며, 패치 관련 내용을 확인하고 적용하였을 경우
[취약] 패치 적용 정책을 수립하지 않고 주기적으로 패치 관리를 하지 않거나, 패치 관련 내용을 확인하지 않고 적용하지 않고 있는 경우</t>
    <phoneticPr fontId="1" type="noConversion"/>
  </si>
  <si>
    <t>[양호] NTP 및 시각 동기화 설정이 기준에 따라 적용된 경우
[취약] NTP 및 시각 동기화 설정이 기준에 따라 적용되어 있지 않은 경우</t>
    <phoneticPr fontId="1" type="noConversion"/>
  </si>
  <si>
    <t>[양호] 로그 기록 정책이 보안 정책에 따라 설정되어 수립되어 있으며, 로그를 남기고 있는 경우
[취약] 로그 기록 정책 미수립 또는 정책에 따라 설정되어 있지 않거나, 로그를 남기고 있지 않은 경우</t>
    <phoneticPr fontId="1" type="noConversion"/>
  </si>
  <si>
    <t>[양호] 디렉터리 내 로그 파일의 소유자가 root이고, 권한이 644 이하인 경우
[취약] 디렉터리 내 로그 파일의 소유자가 root가 아니거나, 권한이 644를 초과하는 경우</t>
    <phoneticPr fontId="1" type="noConversion"/>
  </si>
  <si>
    <t>수동점검</t>
  </si>
  <si>
    <t>수동점검</t>
    <phoneticPr fontId="1" type="noConversion"/>
  </si>
  <si>
    <t>취약</t>
  </si>
  <si>
    <t>N/A</t>
  </si>
  <si>
    <t xml:space="preserve">Ⅰ. 개 요 </t>
    <phoneticPr fontId="1" type="noConversion"/>
  </si>
  <si>
    <t>1.1. 점검 목적</t>
    <phoneticPr fontId="1" type="noConversion"/>
  </si>
  <si>
    <t>1.2. 기대 효과</t>
    <phoneticPr fontId="1" type="noConversion"/>
  </si>
  <si>
    <t xml:space="preserve"> → 보안점검을 통해 운영 중인 시스템상에 존재하는 취약점 조기에 발견
 → 도출된 결과에 대하여 취약점의 심각성 등을 심층적 분석
 → 현재의 보안수준을 평가하고 이에 대한 종합적인 대응책 도출
 → 도출된 대응책을 통해 운영 중인 웹 서비스의 보안성 강화</t>
    <phoneticPr fontId="1" type="noConversion"/>
  </si>
  <si>
    <t>1.3. 점검 방법</t>
    <phoneticPr fontId="1" type="noConversion"/>
  </si>
  <si>
    <t xml:space="preserve">  서버 취약점 점검은 시스템의 중요 파일의 변조 가능성 및 계정 정보의 정책 등을 점검하여 시스템이 보다 안전한 환경에서 운영될 수 있도록 하는데 목적을 둡니다.</t>
    <phoneticPr fontId="1" type="noConversion"/>
  </si>
  <si>
    <t>구 분</t>
  </si>
  <si>
    <t>점검 방법</t>
  </si>
  <si>
    <t>비 고</t>
    <phoneticPr fontId="1" type="noConversion"/>
  </si>
  <si>
    <t>체크리스트를 이용하여 보안지수를 점검</t>
  </si>
  <si>
    <t>인터뷰</t>
  </si>
  <si>
    <t>스크립트</t>
  </si>
  <si>
    <t>1.4. 점검 항목</t>
    <phoneticPr fontId="1" type="noConversion"/>
  </si>
  <si>
    <t>◎ 점검 등급</t>
    <phoneticPr fontId="1" type="noConversion"/>
  </si>
  <si>
    <t>설 명</t>
  </si>
  <si>
    <t>점검 항목의 보안 설정이 잘 적용되어 있음</t>
  </si>
  <si>
    <t>점검 항목의 보안 설정이 적용되어 있지 않음</t>
  </si>
  <si>
    <t>점검 항목이 해당 시스템과 관련이 없음</t>
  </si>
  <si>
    <t>점검 항목이 취약한 설정으로 되어 있지만 담당자가 인지하고 있음</t>
    <phoneticPr fontId="1" type="noConversion"/>
  </si>
  <si>
    <t>◎ 위험도</t>
    <phoneticPr fontId="1" type="noConversion"/>
  </si>
  <si>
    <t>상</t>
  </si>
  <si>
    <t>관리자 권한을 획득하거나 시스템 정지 가능</t>
  </si>
  <si>
    <t>중</t>
  </si>
  <si>
    <t>일반권한을 획득하거나 주요 정보 유출 가능</t>
  </si>
  <si>
    <t>하</t>
  </si>
  <si>
    <t>시스템 정보 등의 위협은 가능하나 영향력 미비</t>
  </si>
  <si>
    <t>순서</t>
    <phoneticPr fontId="1" type="noConversion"/>
  </si>
  <si>
    <t>HostName</t>
    <phoneticPr fontId="1" type="noConversion"/>
  </si>
  <si>
    <t>부서/담당자</t>
    <phoneticPr fontId="1" type="noConversion"/>
  </si>
  <si>
    <t>구분</t>
    <phoneticPr fontId="9" type="noConversion"/>
  </si>
  <si>
    <t>항목별
취약수</t>
    <phoneticPr fontId="1" type="noConversion"/>
  </si>
  <si>
    <t>총합계</t>
    <phoneticPr fontId="1" type="noConversion"/>
  </si>
  <si>
    <t>평가점수</t>
    <phoneticPr fontId="1" type="noConversion"/>
  </si>
  <si>
    <t>간략 권고 사항</t>
    <phoneticPr fontId="1" type="noConversion"/>
  </si>
  <si>
    <t>원격 접속 시 root 계정으로 접속할 수 없도록 파일 내용 설정</t>
    <phoneticPr fontId="1" type="noConversion"/>
  </si>
  <si>
    <t>root 계정을 포함한 사용자 계정의 비밀번호를 영문, 숫자, 특수문자를 포함하여 최소 8자리 이상 및 최소 사용 기간 1일, 최대 사용 기간 90일, 최근 비밀번호 기억 4회 이상으로 설정</t>
    <phoneticPr fontId="1" type="noConversion"/>
  </si>
  <si>
    <t>계정 잠금 임계값을 10회 이하로 설정</t>
    <phoneticPr fontId="1" type="noConversion"/>
  </si>
  <si>
    <t>비밀번호 암호화 저장·관리 설정</t>
    <phoneticPr fontId="1" type="noConversion"/>
  </si>
  <si>
    <t>UID가 0으로 설정된 계정을 0 이외의 중복되지 않은 UID로 변경 또는 불필요한 계정인 경우 제거하도록 설정</t>
    <phoneticPr fontId="1" type="noConversion"/>
  </si>
  <si>
    <t>PAM 모듈 설정 또는 su 명령어 허용 그룹 생성 후 su 명령어 일반 사용자 권한 제거하도록 설정</t>
    <phoneticPr fontId="1" type="noConversion"/>
  </si>
  <si>
    <t xml:space="preserve"> </t>
    <phoneticPr fontId="1" type="noConversion"/>
  </si>
  <si>
    <t>시스템의 존재하는 계정 확인 후 불필요한 계정 제거하도록 설정</t>
    <phoneticPr fontId="1" type="noConversion"/>
  </si>
  <si>
    <t>관리자 그룹에 등록된 계정 확인 후 불필요한 계정 제거하도록 설정</t>
    <phoneticPr fontId="1" type="noConversion"/>
  </si>
  <si>
    <t>불필요한 그룹이 존재하는 경우 관리자와 검토하여 제거하도록 설정</t>
    <phoneticPr fontId="1" type="noConversion"/>
  </si>
  <si>
    <t>동일한 UID를 가진 사용자 계정의 UID를 중복되지 않도록 변경하도록 설정</t>
    <phoneticPr fontId="1" type="noConversion"/>
  </si>
  <si>
    <t>로그인이 필요하지 않은 계정에 대해 /bin/false(/sbin/nologin) 쉘 부여 설정</t>
    <phoneticPr fontId="1" type="noConversion"/>
  </si>
  <si>
    <t>600초(10분) 동안 입력이 없는 경우 접속된 Session을 끊도록 설정</t>
    <phoneticPr fontId="1" type="noConversion"/>
  </si>
  <si>
    <t>SHA-2 이상의 안전한 비밀번호 암호화 알고리즘 적용 설정</t>
    <phoneticPr fontId="1" type="noConversion"/>
  </si>
  <si>
    <t>root 계정의 환경설정 파일(/.profile, /.bashrc 등)과 시스템 환경설정파일(/etc/profile 등)에 설정된 PATH 환경변수에서 현재 디렉터리를 나타내는 "." 을 PATH 환경변수의 마지막으로 이동하도록 설정</t>
    <phoneticPr fontId="1" type="noConversion"/>
  </si>
  <si>
    <t>소유자가 존재하지 않는 파일 및 디렉터리 제거 또는 소유자 변경 설정</t>
    <phoneticPr fontId="1" type="noConversion"/>
  </si>
  <si>
    <t>/etc/passwd 파일 소유자 및 권한 변경 설정</t>
    <phoneticPr fontId="1" type="noConversion"/>
  </si>
  <si>
    <t>시스템 시작 스크립트 파일 소유자 및 권한 변경 설정</t>
    <phoneticPr fontId="1" type="noConversion"/>
  </si>
  <si>
    <t>/etc/shadow 파일 소유자 및 권한 변경 설정</t>
    <phoneticPr fontId="1" type="noConversion"/>
  </si>
  <si>
    <t>/etc/hosts 파일 소유자 및 권한 변경 설정</t>
    <phoneticPr fontId="1" type="noConversion"/>
  </si>
  <si>
    <t>/etc/(x)inetd.conf 파일 소유자 및 권한 변경 설정</t>
    <phoneticPr fontId="1" type="noConversion"/>
  </si>
  <si>
    <t>/etc/(r)syslog.conf 파일 소유자 및 권한 변경 설정</t>
    <phoneticPr fontId="1" type="noConversion"/>
  </si>
  <si>
    <t>/etc/services 파일 소유자 및 권한 변경 설정</t>
    <phoneticPr fontId="1" type="noConversion"/>
  </si>
  <si>
    <t>불피요한 SUID, SGID 권한 또는 해당 파일 제거하도록 설정
애플리케이션에서 생성한 파일이나 사용자가 임의로 생성한 파일 등 의심스럽거나 특이한 파일에 SUID 권한이 부여된 경우 제거하도록 설정</t>
    <phoneticPr fontId="1" type="noConversion"/>
  </si>
  <si>
    <t>환경변수 파일의 일반 사용자 쓰기 권한 제거하도록 설정</t>
    <phoneticPr fontId="1" type="noConversion"/>
  </si>
  <si>
    <t>world writable 파일 존재 여부를 확인하고 불필요한 경우 제거하도록 설정</t>
    <phoneticPr fontId="1" type="noConversion"/>
  </si>
  <si>
    <t>major, minor number를 가지지 않는 device 파일 제거하도록 설정</t>
    <phoneticPr fontId="1" type="noConversion"/>
  </si>
  <si>
    <t>/etc/hosts.equiv, $HOME/.rhost 파일 소유자 및 권한 변경, 허용 호스트 및 계정 등록 설정</t>
    <phoneticPr fontId="1" type="noConversion"/>
  </si>
  <si>
    <t>OS에 기본으로 제공하는 방화벽 애플리케이션이나 TCP Wrapper와 같은 호스트별 서비스 제한 애플리케이션을 사용하여 접근 허용 IP 등록 설정</t>
    <phoneticPr fontId="1" type="noConversion"/>
  </si>
  <si>
    <t>/etc/hosts.lpd 파일 제거 또는 /etc/hosts.lpd 파일 소유자 및 권한 변경 설정</t>
    <phoneticPr fontId="1" type="noConversion"/>
  </si>
  <si>
    <t>설정 파일에 UMASK 값을 022로 설정</t>
    <phoneticPr fontId="1" type="noConversion"/>
  </si>
  <si>
    <t>사용자별 홈 디렉토리 소유주를 해당 계정으로 변경하고, 타 사용자의 쓰기 권한 제거하도록 설정
(/etc/passwd 파일에서 홈 디렉토리 확인, 사용자 홈 디렉토리 외 개별적으로 만들어 사용하는 사용자 디렉토리 존재 여부 확인하여 점검)</t>
    <phoneticPr fontId="1" type="noConversion"/>
  </si>
  <si>
    <t>홈 디렉토리가 존재하지 않는 계정에 홈 디렉토리 설정 또는 계정 제거하도록 설정</t>
    <phoneticPr fontId="1" type="noConversion"/>
  </si>
  <si>
    <t>ls -al 명령어로 숨겨진 파일 존재 파악 후 불법적이거나 의심스러운 파일을 제거하도록 설정</t>
    <phoneticPr fontId="1" type="noConversion"/>
  </si>
  <si>
    <t>Finger 서비스 비활성화 설정</t>
    <phoneticPr fontId="1" type="noConversion"/>
  </si>
  <si>
    <t>공유 서비스의 익명 접근 제한 설정</t>
    <phoneticPr fontId="1" type="noConversion"/>
  </si>
  <si>
    <t>불필요한 r 계열 서비스 중지 및 비활성화 설정</t>
    <phoneticPr fontId="1" type="noConversion"/>
  </si>
  <si>
    <t>crontab 및 at 명령어 파일 권한 750 이하, cron 및 at 관련 소유자 및 파일 권한 640 이하 설정</t>
    <phoneticPr fontId="1" type="noConversion"/>
  </si>
  <si>
    <t>echo, discard, daytime, chargen, ntp, dns, snmp 등의 서비스 비활성화 설정</t>
    <phoneticPr fontId="1" type="noConversion"/>
  </si>
  <si>
    <t>NFS 서비스를 사용하지 않는 경우 서비스 중지 및 비활성화 설정</t>
    <phoneticPr fontId="1" type="noConversion"/>
  </si>
  <si>
    <t>NFS 서비스를 사용하지 않는 경우 서비스 중지 및 비활성화 설정
불가피하게 사용 시 접근 통제 설정 및 NFS 설정 파일 접근 권한 644 설정</t>
    <phoneticPr fontId="1" type="noConversion"/>
  </si>
  <si>
    <t>automountd 서비스 비활성화 설정</t>
    <phoneticPr fontId="1" type="noConversion"/>
  </si>
  <si>
    <t>불필요한 RPC 서비스 중지 및 비활성화 설정</t>
    <phoneticPr fontId="1" type="noConversion"/>
  </si>
  <si>
    <t>NIS 관련 서비스 비활성화 설정</t>
    <phoneticPr fontId="1" type="noConversion"/>
  </si>
  <si>
    <t>불필요한 tftp, talk, ntalk 서비스 비활성화 설정</t>
    <phoneticPr fontId="1" type="noConversion"/>
  </si>
  <si>
    <t>메일 서비스를 사용하지 않는 경우 서비스 중지 및 비활성화 설정
메일 서비스 사용 시 패치 관리 정책을 수립하여 주기적으로 패치 적용 설정</t>
    <phoneticPr fontId="1" type="noConversion"/>
  </si>
  <si>
    <t>메일 서비스를 사용하지 않는 경우 서비스 중지 및 비활성화 설정
메일 서비스 사용 시 메일 서비스의 q 옵션 제한 설정</t>
    <phoneticPr fontId="1" type="noConversion"/>
  </si>
  <si>
    <t>메일 서비스를 사용하지 않는 경우 서비스 중지 및 비활성화 설정
메일 서비스 사용 시 릴레이 방지 설정 또는 릴레이 대상 접근 제어 설정</t>
    <phoneticPr fontId="1" type="noConversion"/>
  </si>
  <si>
    <t>메일 서비스를 사용하지 않는 경우 서비스 중지 및 비활성화 설정
메일 서비스 사용 시 메일 서비스 설정 파일에 noexpn, novrfy 또는 goaway 옵션 추가 설정</t>
    <phoneticPr fontId="1" type="noConversion"/>
  </si>
  <si>
    <t>DNS 서비스를 사용하지 않는 경우 서비스 중지 및 비활성화 설정
DNS 서비스 사용 시 패치 관리 정책 수립 및 주기적으로 패치 적용 설정</t>
    <phoneticPr fontId="1" type="noConversion"/>
  </si>
  <si>
    <t>DNS 서비스를 사용하지 않는 경우 서비스 중지 및 비활성화 설정
DNs 서비스 사용 시 DNS Zone Transfer를 허가된 사용자에게만 전송 허용하도록 설정</t>
    <phoneticPr fontId="1" type="noConversion"/>
  </si>
  <si>
    <t>DNS 서비스를 사용하지 않는 경우 서비스 중지 및 비활성화 설정
DNS 서비스 사용 시 일반적으로 동적 업데이트 기능이 필요 없으니 확인 필요함</t>
    <phoneticPr fontId="1" type="noConversion"/>
  </si>
  <si>
    <t>Telnet, FTP 등 안전하지 않은 서비스 사용을 중지하고 SSH 설치 및 사용하도록 설정</t>
    <phoneticPr fontId="1" type="noConversion"/>
  </si>
  <si>
    <t>FTP 서비스를 사용하지 않는 경우 서비스 중지 및 비활성화 설정
FTP 서비스 사용 시 FTP 설정 파일을 통해 접속 배너 설정</t>
    <phoneticPr fontId="1" type="noConversion"/>
  </si>
  <si>
    <t>암호화되지 않은 FTP 서비스 중지 및 비활성화 설정</t>
    <phoneticPr fontId="1" type="noConversion"/>
  </si>
  <si>
    <t>FTP 서비스를 사용하지 않는 경우 서비스 중지 및 비활성화 설정
FTP 서비스 사용 시 FTP 계정에 /bin/false 쉘 부여 설정</t>
    <phoneticPr fontId="1" type="noConversion"/>
  </si>
  <si>
    <t>FTP 서비스를 사용하지 않는 경우 서비스 중지 및 비활성화 설정
FTP 서비스 사용 시 접근 제어 설정</t>
    <phoneticPr fontId="1" type="noConversion"/>
  </si>
  <si>
    <t>FTP 서비스를 사용하지 않는 경우 서비스 중지 및 비활성화 설정
FTP 서비스 사용 시 root 계정으로 직접 접속할 수 없도록 설정</t>
    <phoneticPr fontId="1" type="noConversion"/>
  </si>
  <si>
    <t>SNMP 서비스를 사용하지 않는 경우 서비스 중지 및 비활성화 설정</t>
    <phoneticPr fontId="1" type="noConversion"/>
  </si>
  <si>
    <t>SNMP 서비스를 사용하지 않는 경우 서비스 중지 및 비활성화 설정
SNMP 서비스 사용 시 SNMP 버전을 v3 이상으로 적용하도록 설정</t>
    <phoneticPr fontId="1" type="noConversion"/>
  </si>
  <si>
    <t>SNMP 서비스를 사용하지 않는 경우 서비스 중지 및 비활성화 설정
SNMP 서비스 사용 시 SNMP Community String 기본값인 "public", "private"이 아닌 영문자, 숫자 포함 10자리 이상 또는 영문자, 숫자, 특수문자 포함 8자리 이상으로 설정</t>
    <phoneticPr fontId="1" type="noConversion"/>
  </si>
  <si>
    <t>SNMP 서비스를 사용하지 않는 경우 서비스 중지 및 비활성화 설정
SNMP 서비스 사용 시 SNMP 접근 제어 설정하도록 설정</t>
    <phoneticPr fontId="1" type="noConversion"/>
  </si>
  <si>
    <t>Telnet, FTP, SMTP, DNS 서비스를 사용하는 경우 설정 파일을 통해 로그온 시 경고 메시지 설정</t>
    <phoneticPr fontId="1" type="noConversion"/>
  </si>
  <si>
    <t>/etc/sudoers 파일 소유자 및 권한 변경 설정</t>
    <phoneticPr fontId="1" type="noConversion"/>
  </si>
  <si>
    <t>OS 관리자, 서비스 개발자가 패치 적용에 따른 서비스 영향 정도를 파악하여 OS 관리자 및 벤더에서 적용하도록 설정</t>
    <phoneticPr fontId="1" type="noConversion"/>
  </si>
  <si>
    <t>NTP 설정 및 동기화 주기 설정</t>
    <phoneticPr fontId="1" type="noConversion"/>
  </si>
  <si>
    <t>로그 기록 정책을 수립하고, 정책에 따라 (r)syslog.conf 파일을 설정</t>
    <phoneticPr fontId="1" type="noConversion"/>
  </si>
  <si>
    <t>디렉토리 내 로그 파일 소유자 및 권한 변경 설정</t>
    <phoneticPr fontId="1" type="noConversion"/>
  </si>
  <si>
    <t>대응방안</t>
    <phoneticPr fontId="1" type="noConversion"/>
  </si>
  <si>
    <t>담당자의견</t>
    <phoneticPr fontId="1" type="noConversion"/>
  </si>
  <si>
    <t>이행점검</t>
    <phoneticPr fontId="1" type="noConversion"/>
  </si>
  <si>
    <t>Ⅵ. 취약점 상세 현황</t>
    <phoneticPr fontId="1" type="noConversion"/>
  </si>
  <si>
    <t>업체명</t>
    <phoneticPr fontId="1" type="noConversion"/>
  </si>
  <si>
    <t>주요정보통신기반시설
서버(LINUX/UNIX) 이행점검</t>
    <phoneticPr fontId="1" type="noConversion"/>
  </si>
  <si>
    <t>주요정보통신기반시설
서버(LINUX/UNIX) 이행점검 상세 결과보고서</t>
    <phoneticPr fontId="1" type="noConversion"/>
  </si>
  <si>
    <t xml:space="preserve">4.1. 총 평 </t>
    <phoneticPr fontId="1" type="noConversion"/>
  </si>
  <si>
    <t>◎ 취약점 분석 평가 점수 (취약점 수 상위 5항목)</t>
    <phoneticPr fontId="1" type="noConversion"/>
  </si>
  <si>
    <t>◎ 위험도별 발견 취약점 수</t>
    <phoneticPr fontId="1" type="noConversion"/>
  </si>
  <si>
    <t>[차트 보조 데이터] 보안점검 결과 평가점수 하위 5개 서버 자동 추출 테이블
※ 보안점검 결과 시트의 평가점수(76행)를 기준으로 하위 5개 서버를 자동 정렬합니다. 서버 추가·변경 시 자동 갱신됩니다.</t>
  </si>
  <si>
    <t>점검 대상 서버 수 (자동)</t>
  </si>
  <si>
    <t>서버명</t>
  </si>
  <si>
    <t>평가점수</t>
  </si>
  <si>
    <t>Ⅴ. 이행점검 총평</t>
  </si>
  <si>
    <t xml:space="preserve">5.1. 총 평 </t>
  </si>
  <si>
    <t>[차트 보조 데이터] 이행점검 결과 평가점수 하위 5개 서버 자동 추출 테이블
※ 이행점검 결과 시트의 평가점수(76행)를 기준으로 하위 5개 서버를 자동 정렬합니다. 서버 추가·변경 시 자동 갱신됩니다.</t>
  </si>
  <si>
    <t>Ⅳ. 보안점검 결과</t>
    <phoneticPr fontId="1" type="noConversion"/>
  </si>
  <si>
    <t>Ⅳ. 보안점검 총평</t>
    <phoneticPr fontId="1" type="noConversion"/>
  </si>
  <si>
    <t>Ⅴ. 이행점검 결과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</si>
</sst>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ajor"/>
    </font>
    <font>
      <b/>
      <sz val="13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color theme="1"/>
      <name val="맑은 고딕"/>
      <family val="3"/>
      <charset val="129"/>
    </font>
    <font>
      <b/>
      <sz val="8"/>
      <color theme="0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</font>
    <font>
      <sz val="28"/>
      <color theme="1"/>
      <name val="HY헤드라인M"/>
      <family val="1"/>
      <charset val="129"/>
    </font>
    <font>
      <sz val="26"/>
      <color theme="1"/>
      <name val="HY헤드라인M"/>
      <family val="1"/>
      <charset val="129"/>
    </font>
    <font>
      <sz val="9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AE9F8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29" fillId="0" borderId="0"/>
    <xf numFmtId="0" fontId="39" fillId="0" borderId="0" applyNumberForma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right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 wrapText="1" indent="1"/>
    </xf>
    <xf numFmtId="0" fontId="17" fillId="2" borderId="0" xfId="0" applyFont="1" applyFill="1">
      <alignment vertical="center"/>
    </xf>
    <xf numFmtId="0" fontId="18" fillId="2" borderId="0" xfId="0" applyFont="1" applyFill="1">
      <alignment vertical="center"/>
    </xf>
    <xf numFmtId="0" fontId="12" fillId="4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2" borderId="6" xfId="0" quotePrefix="1" applyFont="1" applyFill="1" applyBorder="1" applyAlignment="1">
      <alignment horizontal="left" vertical="center" wrapText="1"/>
    </xf>
    <xf numFmtId="0" fontId="4" fillId="0" borderId="6" xfId="0" quotePrefix="1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9" fontId="15" fillId="0" borderId="8" xfId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7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9" fillId="0" borderId="11" xfId="0" applyFont="1" applyBorder="1">
      <alignment vertical="center"/>
    </xf>
    <xf numFmtId="0" fontId="19" fillId="0" borderId="0" xfId="0" applyFont="1">
      <alignment vertical="center"/>
    </xf>
    <xf numFmtId="0" fontId="23" fillId="2" borderId="17" xfId="0" applyFont="1" applyFill="1" applyBorder="1">
      <alignment vertical="center"/>
    </xf>
    <xf numFmtId="0" fontId="19" fillId="2" borderId="17" xfId="0" applyFont="1" applyFill="1" applyBorder="1">
      <alignment vertical="center"/>
    </xf>
    <xf numFmtId="0" fontId="19" fillId="0" borderId="18" xfId="0" applyFont="1" applyBorder="1">
      <alignment vertical="center"/>
    </xf>
    <xf numFmtId="0" fontId="19" fillId="0" borderId="19" xfId="0" applyFont="1" applyBorder="1">
      <alignment vertical="center"/>
    </xf>
    <xf numFmtId="0" fontId="19" fillId="2" borderId="0" xfId="0" applyFont="1" applyFill="1">
      <alignment vertical="center"/>
    </xf>
    <xf numFmtId="0" fontId="19" fillId="2" borderId="16" xfId="0" applyFont="1" applyFill="1" applyBorder="1">
      <alignment vertical="center"/>
    </xf>
    <xf numFmtId="0" fontId="19" fillId="0" borderId="15" xfId="0" applyFont="1" applyBorder="1">
      <alignment vertical="center"/>
    </xf>
    <xf numFmtId="0" fontId="21" fillId="2" borderId="0" xfId="0" applyFont="1" applyFill="1">
      <alignment vertical="center"/>
    </xf>
    <xf numFmtId="0" fontId="21" fillId="2" borderId="15" xfId="0" applyFont="1" applyFill="1" applyBorder="1">
      <alignment vertical="center"/>
    </xf>
    <xf numFmtId="0" fontId="22" fillId="2" borderId="0" xfId="0" applyFont="1" applyFill="1">
      <alignment vertical="center"/>
    </xf>
    <xf numFmtId="0" fontId="23" fillId="2" borderId="0" xfId="0" applyFont="1" applyFill="1">
      <alignment vertic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23" fillId="2" borderId="0" xfId="0" applyFont="1" applyFill="1" applyAlignment="1">
      <alignment horizontal="left" vertical="center" wrapText="1"/>
    </xf>
    <xf numFmtId="0" fontId="19" fillId="2" borderId="15" xfId="0" applyFont="1" applyFill="1" applyBorder="1">
      <alignment vertical="center"/>
    </xf>
    <xf numFmtId="0" fontId="22" fillId="2" borderId="0" xfId="0" applyFont="1" applyFill="1" applyAlignment="1">
      <alignment horizontal="left" vertical="center" indent="1"/>
    </xf>
    <xf numFmtId="0" fontId="26" fillId="2" borderId="0" xfId="0" applyFont="1" applyFill="1" applyAlignment="1">
      <alignment vertical="center" wrapText="1"/>
    </xf>
    <xf numFmtId="0" fontId="24" fillId="2" borderId="0" xfId="0" applyFont="1" applyFill="1">
      <alignment vertical="center"/>
    </xf>
    <xf numFmtId="0" fontId="23" fillId="2" borderId="9" xfId="0" applyFont="1" applyFill="1" applyBorder="1">
      <alignment vertical="center"/>
    </xf>
    <xf numFmtId="0" fontId="19" fillId="2" borderId="10" xfId="0" applyFont="1" applyFill="1" applyBorder="1">
      <alignment vertical="center"/>
    </xf>
    <xf numFmtId="0" fontId="0" fillId="0" borderId="11" xfId="0" applyBorder="1">
      <alignment vertical="center"/>
    </xf>
    <xf numFmtId="0" fontId="28" fillId="2" borderId="0" xfId="0" applyFont="1" applyFill="1">
      <alignment vertical="center"/>
    </xf>
    <xf numFmtId="0" fontId="0" fillId="0" borderId="1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30" fillId="2" borderId="0" xfId="0" applyFont="1" applyFill="1">
      <alignment vertical="center"/>
    </xf>
    <xf numFmtId="0" fontId="30" fillId="2" borderId="0" xfId="0" applyFont="1" applyFill="1" applyAlignment="1">
      <alignment horizontal="center" vertical="center"/>
    </xf>
    <xf numFmtId="0" fontId="20" fillId="0" borderId="20" xfId="0" applyFont="1" applyBorder="1">
      <alignment vertical="center"/>
    </xf>
    <xf numFmtId="0" fontId="30" fillId="0" borderId="0" xfId="0" applyFont="1">
      <alignment vertical="center"/>
    </xf>
    <xf numFmtId="0" fontId="30" fillId="0" borderId="20" xfId="0" applyFont="1" applyBorder="1">
      <alignment vertical="center"/>
    </xf>
    <xf numFmtId="0" fontId="30" fillId="0" borderId="20" xfId="0" applyFont="1" applyBorder="1" applyAlignment="1">
      <alignment horizontal="center" vertical="center"/>
    </xf>
    <xf numFmtId="0" fontId="30" fillId="0" borderId="21" xfId="0" applyFont="1" applyBorder="1">
      <alignment vertical="center"/>
    </xf>
    <xf numFmtId="0" fontId="19" fillId="0" borderId="22" xfId="0" applyFont="1" applyBorder="1">
      <alignment vertical="center"/>
    </xf>
    <xf numFmtId="0" fontId="19" fillId="0" borderId="22" xfId="0" applyFont="1" applyBorder="1" applyAlignment="1">
      <alignment horizontal="center" vertical="center"/>
    </xf>
    <xf numFmtId="0" fontId="30" fillId="0" borderId="23" xfId="0" applyFont="1" applyBorder="1">
      <alignment vertical="center"/>
    </xf>
    <xf numFmtId="0" fontId="31" fillId="9" borderId="4" xfId="0" applyFont="1" applyFill="1" applyBorder="1" applyAlignment="1">
      <alignment horizontal="center" vertical="center" wrapText="1"/>
    </xf>
    <xf numFmtId="0" fontId="31" fillId="9" borderId="3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2" fillId="4" borderId="5" xfId="0" applyFont="1" applyFill="1" applyBorder="1" applyAlignment="1">
      <alignment horizontal="center" vertical="center" wrapText="1"/>
    </xf>
    <xf numFmtId="0" fontId="32" fillId="4" borderId="6" xfId="0" applyFont="1" applyFill="1" applyBorder="1" applyAlignment="1">
      <alignment horizontal="center" vertical="center" wrapText="1"/>
    </xf>
    <xf numFmtId="0" fontId="32" fillId="4" borderId="7" xfId="0" applyFont="1" applyFill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left" vertical="center" wrapText="1" indent="1"/>
    </xf>
    <xf numFmtId="0" fontId="32" fillId="4" borderId="4" xfId="0" applyFont="1" applyFill="1" applyBorder="1" applyAlignment="1">
      <alignment horizontal="center" vertical="center" wrapText="1"/>
    </xf>
    <xf numFmtId="0" fontId="32" fillId="4" borderId="6" xfId="0" applyFont="1" applyFill="1" applyBorder="1">
      <alignment vertical="center"/>
    </xf>
    <xf numFmtId="0" fontId="32" fillId="4" borderId="7" xfId="0" applyFont="1" applyFill="1" applyBorder="1">
      <alignment vertical="center"/>
    </xf>
    <xf numFmtId="0" fontId="32" fillId="4" borderId="4" xfId="0" applyFont="1" applyFill="1" applyBorder="1">
      <alignment vertical="center"/>
    </xf>
    <xf numFmtId="0" fontId="32" fillId="4" borderId="5" xfId="0" applyFont="1" applyFill="1" applyBorder="1">
      <alignment vertical="center"/>
    </xf>
    <xf numFmtId="0" fontId="33" fillId="0" borderId="5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0" fillId="8" borderId="4" xfId="0" applyFont="1" applyFill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4" fillId="2" borderId="8" xfId="0" applyFont="1" applyFill="1" applyBorder="1">
      <alignment vertical="center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49" fontId="21" fillId="2" borderId="0" xfId="0" applyNumberFormat="1" applyFont="1" applyFill="1">
      <alignment vertical="center"/>
    </xf>
    <xf numFmtId="0" fontId="34" fillId="0" borderId="0" xfId="0" applyFont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8" fillId="2" borderId="0" xfId="0" applyFont="1" applyFill="1">
      <alignment vertical="center"/>
    </xf>
    <xf numFmtId="0" fontId="38" fillId="2" borderId="0" xfId="0" applyFont="1" applyFill="1">
      <alignment vertical="center"/>
    </xf>
    <xf numFmtId="0" fontId="39" fillId="2" borderId="0" xfId="3" quotePrefix="1" applyFill="1" applyBorder="1">
      <alignment vertical="center"/>
    </xf>
    <xf numFmtId="0" fontId="40" fillId="2" borderId="0" xfId="0" applyFont="1" applyFill="1" applyAlignment="1">
      <alignment vertical="top" wrapText="1"/>
    </xf>
    <xf numFmtId="0" fontId="8" fillId="2" borderId="0" xfId="0" applyFont="1" applyFill="1" applyAlignment="1">
      <alignment horizontal="left" vertical="center" indent="1"/>
    </xf>
    <xf numFmtId="0" fontId="40" fillId="2" borderId="0" xfId="0" applyFont="1" applyFill="1" applyAlignment="1">
      <alignment horizontal="left" vertical="center" wrapText="1"/>
    </xf>
    <xf numFmtId="0" fontId="40" fillId="2" borderId="0" xfId="0" applyFont="1" applyFill="1" applyAlignment="1">
      <alignment horizontal="left" vertical="top" wrapText="1"/>
    </xf>
    <xf numFmtId="0" fontId="36" fillId="2" borderId="0" xfId="0" applyFont="1" applyFill="1" applyAlignment="1">
      <alignment horizontal="right" vertical="center"/>
    </xf>
    <xf numFmtId="0" fontId="37" fillId="2" borderId="0" xfId="0" applyFont="1" applyFill="1" applyAlignment="1">
      <alignment horizontal="right" vertical="center" wrapText="1"/>
    </xf>
    <xf numFmtId="0" fontId="37" fillId="2" borderId="0" xfId="0" applyFont="1" applyFill="1" applyAlignment="1">
      <alignment horizontal="right" vertical="center"/>
    </xf>
    <xf numFmtId="0" fontId="27" fillId="7" borderId="4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7" fillId="8" borderId="4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left" vertical="center" wrapText="1"/>
    </xf>
    <xf numFmtId="0" fontId="26" fillId="2" borderId="0" xfId="0" applyFont="1" applyFill="1" applyAlignment="1">
      <alignment horizontal="left" vertical="center" wrapText="1"/>
    </xf>
    <xf numFmtId="0" fontId="27" fillId="6" borderId="4" xfId="0" applyFont="1" applyFill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32" fillId="4" borderId="5" xfId="0" applyFont="1" applyFill="1" applyBorder="1" applyAlignment="1">
      <alignment horizontal="center" vertical="center" wrapText="1"/>
    </xf>
    <xf numFmtId="0" fontId="32" fillId="4" borderId="6" xfId="0" applyFont="1" applyFill="1" applyBorder="1" applyAlignment="1">
      <alignment horizontal="center" vertical="center" wrapText="1"/>
    </xf>
    <xf numFmtId="0" fontId="32" fillId="4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left" vertical="center" indent="1"/>
    </xf>
    <xf numFmtId="0" fontId="12" fillId="4" borderId="4" xfId="0" applyFont="1" applyFill="1" applyBorder="1" applyAlignment="1">
      <alignment horizontal="left" vertical="center" inden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left" vertical="center" indent="1"/>
    </xf>
    <xf numFmtId="0" fontId="12" fillId="4" borderId="6" xfId="0" applyFont="1" applyFill="1" applyBorder="1" applyAlignment="1">
      <alignment horizontal="left" vertical="center" inden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41" fillId="10" borderId="25" xfId="0" applyFont="1" applyFill="1" applyBorder="1" applyAlignment="1">
      <alignment horizontal="left" vertical="center" wrapText="1"/>
    </xf>
    <xf numFmtId="0" fontId="41" fillId="11" borderId="25" xfId="0" applyFont="1" applyFill="1" applyBorder="1" applyAlignment="1">
      <alignment horizontal="center" vertical="center"/>
    </xf>
    <xf numFmtId="0" fontId="38" fillId="11" borderId="25" xfId="0" applyFont="1" applyFill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9" fontId="38" fillId="0" borderId="25" xfId="0" applyNumberFormat="1" applyFont="1" applyBorder="1" applyAlignment="1">
      <alignment horizontal="center" vertical="center"/>
    </xf>
    <xf numFmtId="0" fontId="41" fillId="11" borderId="4" xfId="0" applyFont="1" applyFill="1" applyBorder="1" applyAlignment="1">
      <alignment horizontal="center" vertical="center"/>
    </xf>
    <xf numFmtId="0" fontId="38" fillId="11" borderId="4" xfId="0" applyFont="1" applyFill="1" applyBorder="1" applyAlignment="1">
      <alignment horizontal="center" vertical="center"/>
    </xf>
    <xf numFmtId="0" fontId="42" fillId="10" borderId="1" xfId="0" applyFont="1" applyFill="1" applyBorder="1" applyAlignment="1">
      <alignment horizontal="left" vertical="center" wrapText="1"/>
    </xf>
    <xf numFmtId="0" fontId="42" fillId="10" borderId="3" xfId="0" applyFont="1" applyFill="1" applyBorder="1" applyAlignment="1">
      <alignment horizontal="left" vertical="center" wrapText="1"/>
    </xf>
    <xf numFmtId="0" fontId="38" fillId="0" borderId="4" xfId="0" applyFont="1" applyBorder="1" applyAlignment="1">
      <alignment horizontal="center" vertical="center"/>
    </xf>
    <xf numFmtId="9" fontId="38" fillId="0" borderId="4" xfId="0" applyNumberFormat="1" applyFont="1" applyBorder="1" applyAlignment="1">
      <alignment horizontal="center" vertical="center"/>
    </xf>
  </cellXfs>
  <cellStyles count="4">
    <cellStyle name="백분율" xfId="1" builtinId="5"/>
    <cellStyle name="표준" xfId="0" builtinId="0"/>
    <cellStyle name="표준 2" xfId="2" xr:uid="{0BB00005-C7C3-48DA-AE76-B0A9753BB8DF}"/>
    <cellStyle name="하이퍼링크" xfId="3" builtinId="8"/>
  </cellStyles>
  <dxfs count="18">
    <dxf>
      <font>
        <color theme="1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ont>
        <color rgb="FFFF2F39"/>
      </font>
    </dxf>
    <dxf>
      <font>
        <color theme="3" tint="0.24994659260841701"/>
      </font>
    </dxf>
    <dxf>
      <font>
        <color theme="1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ont>
        <color rgb="FFFF2F39"/>
      </font>
      <fill>
        <patternFill>
          <bgColor rgb="FFFFC7CE"/>
        </patternFill>
      </fill>
    </dxf>
    <dxf>
      <fill>
        <patternFill>
          <bgColor rgb="FFD0D0D0"/>
        </patternFill>
      </fill>
    </dxf>
    <dxf>
      <font>
        <color rgb="FF215C98"/>
      </font>
      <fill>
        <patternFill>
          <bgColor rgb="FFDAE9F8"/>
        </patternFill>
      </fill>
    </dxf>
    <dxf>
      <font>
        <color theme="1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ont>
        <color rgb="FFFF2F39"/>
      </font>
      <fill>
        <patternFill>
          <bgColor rgb="FFFFC7CE"/>
        </patternFill>
      </fill>
    </dxf>
    <dxf>
      <fill>
        <patternFill>
          <bgColor rgb="FFD0D0D0"/>
        </patternFill>
      </fill>
    </dxf>
    <dxf>
      <font>
        <color rgb="FF215C98"/>
      </font>
      <fill>
        <patternFill>
          <bgColor rgb="FFDAE9F8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F2CC"/>
      <color rgb="FFFF2F39"/>
      <color rgb="FF215C98"/>
      <color rgb="FFDAE9F8"/>
      <color rgb="FFD0D0D0"/>
      <color rgb="FFFFC7CE"/>
      <color rgb="FF61ACFF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FFFFFF"/>
                    </a:solidFill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'Ⅳ. 보안점검 결과'!$E$73:$E$75</c:f>
              <c:strCache>
                <c:ptCount val="3"/>
                <c:pt idx="0">
                  <c:v>상</c:v>
                </c:pt>
                <c:pt idx="1">
                  <c:v>중</c:v>
                </c:pt>
                <c:pt idx="2">
                  <c:v>하</c:v>
                </c:pt>
              </c:strCache>
            </c:strRef>
          </c:cat>
          <c:val>
            <c:numRef>
              <c:f>'Ⅳ. 보안점검 결과'!$F$73:$F$75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1-4AEB-B90E-B06215D4B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4704168"/>
        <c:axId val="380945784"/>
      </c:barChart>
      <c:catAx>
        <c:axId val="384704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380945784"/>
        <c:crosses val="autoZero"/>
        <c:auto val="1"/>
        <c:lblAlgn val="ctr"/>
        <c:lblOffset val="100"/>
        <c:noMultiLvlLbl val="0"/>
      </c:catAx>
      <c:valAx>
        <c:axId val="380945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384704168"/>
        <c:crosses val="autoZero"/>
        <c:crossBetween val="between"/>
        <c:min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평가점수</c:v>
          </c:tx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FFFFFF"/>
                    </a:solidFill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hidden!$A$4:$A$8</c:f>
            </c:multiLvlStrRef>
          </c:cat>
          <c:val>
            <c:numRef>
              <c:f>hidden!$B$4:$B$8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7-4C54-9B96-AEE297F7E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0943432"/>
        <c:axId val="380943824"/>
      </c:barChart>
      <c:catAx>
        <c:axId val="380943432"/>
        <c:scaling>
          <c:orientation val="minMax"/>
        </c:scaling>
        <c:delete val="0"/>
        <c:axPos val="b"/>
        <c:minorGridlines>
          <c:spPr>
            <a:ln>
              <a:noFill/>
            </a:ln>
          </c:spPr>
        </c:minorGridlines>
        <c:numFmt formatCode="General" sourceLinked="1"/>
        <c:majorTickMark val="cross"/>
        <c:minorTickMark val="in"/>
        <c:tickLblPos val="low"/>
        <c:spPr>
          <a:noFill/>
          <a:ln>
            <a:noFill/>
          </a:ln>
        </c:spPr>
        <c:txPr>
          <a:bodyPr/>
          <a:lstStyle/>
          <a:p>
            <a:pPr>
              <a:defRPr b="1"/>
            </a:pPr>
            <a:endParaRPr lang="ko-KR"/>
          </a:p>
        </c:txPr>
        <c:crossAx val="380943824"/>
        <c:crosses val="autoZero"/>
        <c:auto val="1"/>
        <c:lblAlgn val="ctr"/>
        <c:lblOffset val="100"/>
        <c:noMultiLvlLbl val="0"/>
      </c:catAx>
      <c:valAx>
        <c:axId val="380943824"/>
        <c:scaling>
          <c:orientation val="minMax"/>
          <c:max val="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380943432"/>
        <c:crosses val="autoZero"/>
        <c:crossBetween val="between"/>
        <c:majorUnit val="0.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FFFFFF"/>
                    </a:solidFill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'Ⅴ. 이행점검 결과'!$E$73:$E$75</c:f>
              <c:strCache>
                <c:ptCount val="3"/>
                <c:pt idx="0">
                  <c:v>상</c:v>
                </c:pt>
                <c:pt idx="1">
                  <c:v>중</c:v>
                </c:pt>
                <c:pt idx="2">
                  <c:v>하</c:v>
                </c:pt>
              </c:strCache>
            </c:strRef>
          </c:cat>
          <c:val>
            <c:numRef>
              <c:f>'Ⅴ. 이행점검 결과'!$F$73:$F$75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2-401D-A57E-3478097B3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4704168"/>
        <c:axId val="380945784"/>
      </c:barChart>
      <c:catAx>
        <c:axId val="384704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380945784"/>
        <c:crosses val="autoZero"/>
        <c:auto val="1"/>
        <c:lblAlgn val="ctr"/>
        <c:lblOffset val="100"/>
        <c:noMultiLvlLbl val="0"/>
      </c:catAx>
      <c:valAx>
        <c:axId val="380945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384704168"/>
        <c:crosses val="autoZero"/>
        <c:crossBetween val="between"/>
        <c:min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평가점수</c:v>
          </c:tx>
          <c:invertIfNegative val="0"/>
          <c:cat>
            <c:multiLvlStrRef>
              <c:f>hidden!$A$13:$A$17</c:f>
            </c:multiLvlStrRef>
          </c:cat>
          <c:val>
            <c:numRef>
              <c:f>hidden!$B$13:$B$17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6-4969-ABD4-E2E3BAF13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0943432"/>
        <c:axId val="380943824"/>
      </c:barChart>
      <c:catAx>
        <c:axId val="380943432"/>
        <c:scaling>
          <c:orientation val="minMax"/>
        </c:scaling>
        <c:delete val="0"/>
        <c:axPos val="b"/>
        <c:minorGridlines>
          <c:spPr>
            <a:ln>
              <a:noFill/>
            </a:ln>
          </c:spPr>
        </c:minorGridlines>
        <c:numFmt formatCode="General" sourceLinked="1"/>
        <c:majorTickMark val="cross"/>
        <c:minorTickMark val="in"/>
        <c:tickLblPos val="low"/>
        <c:spPr>
          <a:noFill/>
          <a:ln>
            <a:noFill/>
          </a:ln>
        </c:spPr>
        <c:txPr>
          <a:bodyPr/>
          <a:lstStyle/>
          <a:p>
            <a:pPr>
              <a:defRPr b="1"/>
            </a:pPr>
            <a:endParaRPr lang="ko-KR"/>
          </a:p>
        </c:txPr>
        <c:crossAx val="380943824"/>
        <c:crosses val="autoZero"/>
        <c:auto val="1"/>
        <c:lblAlgn val="ctr"/>
        <c:lblOffset val="100"/>
        <c:noMultiLvlLbl val="0"/>
      </c:catAx>
      <c:valAx>
        <c:axId val="380943824"/>
        <c:scaling>
          <c:orientation val="minMax"/>
          <c:max val="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ko-KR"/>
          </a:p>
        </c:txPr>
        <c:crossAx val="380943432"/>
        <c:crosses val="autoZero"/>
        <c:crossBetween val="between"/>
        <c:majorUnit val="0.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403412</xdr:colOff>
      <xdr:row>9</xdr:row>
      <xdr:rowOff>156882</xdr:rowOff>
    </xdr:from>
    <xdr:to>
      <xdr:col>7</xdr:col>
      <xdr:colOff>493060</xdr:colOff>
      <xdr:row>15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87A5B63-7AB8-40A2-870E-538EEEF333F8}"/>
            </a:ext>
          </a:extLst>
        </xdr:cNvPr>
        <xdr:cNvSpPr/>
      </xdr:nvSpPr>
      <xdr:spPr>
        <a:xfrm>
          <a:off x="1089212" y="2042832"/>
          <a:ext cx="4204448" cy="11004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</xdr:col>
      <xdr:colOff>560294</xdr:colOff>
      <xdr:row>9</xdr:row>
      <xdr:rowOff>33618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783A9B-F6FD-4BA6-A4DA-D52243C894B9}"/>
            </a:ext>
          </a:extLst>
        </xdr:cNvPr>
        <xdr:cNvSpPr txBox="1"/>
      </xdr:nvSpPr>
      <xdr:spPr>
        <a:xfrm>
          <a:off x="2617694" y="19195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</xdr:col>
      <xdr:colOff>403412</xdr:colOff>
      <xdr:row>9</xdr:row>
      <xdr:rowOff>156882</xdr:rowOff>
    </xdr:from>
    <xdr:to>
      <xdr:col>7</xdr:col>
      <xdr:colOff>493060</xdr:colOff>
      <xdr:row>15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71110A5-210C-46D2-A41E-EE6698095E09}"/>
            </a:ext>
          </a:extLst>
        </xdr:cNvPr>
        <xdr:cNvSpPr/>
      </xdr:nvSpPr>
      <xdr:spPr>
        <a:xfrm>
          <a:off x="1089212" y="2042832"/>
          <a:ext cx="4204448" cy="11004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</xdr:col>
      <xdr:colOff>560294</xdr:colOff>
      <xdr:row>9</xdr:row>
      <xdr:rowOff>33618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48C39C4-26DC-4E52-9F77-57EF18E3868D}"/>
            </a:ext>
          </a:extLst>
        </xdr:cNvPr>
        <xdr:cNvSpPr txBox="1"/>
      </xdr:nvSpPr>
      <xdr:spPr>
        <a:xfrm>
          <a:off x="2617694" y="19195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9</xdr:col>
      <xdr:colOff>632460</xdr:colOff>
      <xdr:row>16</xdr:row>
      <xdr:rowOff>9525</xdr:rowOff>
    </xdr:from>
    <xdr:to>
      <xdr:col>13</xdr:col>
      <xdr:colOff>666748</xdr:colOff>
      <xdr:row>19</xdr:row>
      <xdr:rowOff>142875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8FEF84A-C56E-42EE-9E2E-35ECEF2CE9CF}"/>
            </a:ext>
          </a:extLst>
        </xdr:cNvPr>
        <xdr:cNvSpPr txBox="1"/>
      </xdr:nvSpPr>
      <xdr:spPr>
        <a:xfrm>
          <a:off x="6804660" y="3362325"/>
          <a:ext cx="2777488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400" b="1">
              <a:latin typeface="+mj-ea"/>
              <a:ea typeface="+mj-ea"/>
            </a:rPr>
            <a:t>작성일 </a:t>
          </a:r>
          <a:r>
            <a:rPr lang="en-US" altLang="ko-KR" sz="1400" b="1">
              <a:latin typeface="+mj-ea"/>
              <a:ea typeface="+mj-ea"/>
            </a:rPr>
            <a:t>: 0000.00.00.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4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작성자 </a:t>
          </a:r>
          <a:r>
            <a:rPr lang="en-US" altLang="ko-KR" sz="14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: </a:t>
          </a:r>
          <a:r>
            <a:rPr lang="ko-KR" altLang="en-US" sz="14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○</a:t>
          </a:r>
          <a:r>
            <a:rPr lang="ko-KR" altLang="ko-KR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○○</a:t>
          </a:r>
          <a:endParaRPr lang="ko-KR" altLang="ko-KR" sz="14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0</xdr:col>
      <xdr:colOff>28575</xdr:colOff>
      <xdr:row>0</xdr:row>
      <xdr:rowOff>19050</xdr:rowOff>
    </xdr:from>
    <xdr:to>
      <xdr:col>13</xdr:col>
      <xdr:colOff>667614</xdr:colOff>
      <xdr:row>31</xdr:row>
      <xdr:rowOff>180976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FF4419BC-454F-4B66-9147-C8E3405F972E}"/>
            </a:ext>
          </a:extLst>
        </xdr:cNvPr>
        <xdr:cNvGrpSpPr/>
      </xdr:nvGrpSpPr>
      <xdr:grpSpPr>
        <a:xfrm>
          <a:off x="28575" y="19050"/>
          <a:ext cx="9554439" cy="6657976"/>
          <a:chOff x="-209550" y="100012"/>
          <a:chExt cx="9554439" cy="6657976"/>
        </a:xfrm>
      </xdr:grpSpPr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D4FEDE78-1DFB-FDEF-8EE4-500A3B741E77}"/>
              </a:ext>
            </a:extLst>
          </xdr:cNvPr>
          <xdr:cNvSpPr/>
        </xdr:nvSpPr>
        <xdr:spPr>
          <a:xfrm>
            <a:off x="-209550" y="100012"/>
            <a:ext cx="9554439" cy="6657976"/>
          </a:xfrm>
          <a:prstGeom prst="rect">
            <a:avLst/>
          </a:prstGeom>
          <a:noFill/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E84EF4E4-FBD6-8A27-56C9-F576CD12AD19}"/>
              </a:ext>
            </a:extLst>
          </xdr:cNvPr>
          <xdr:cNvSpPr/>
        </xdr:nvSpPr>
        <xdr:spPr>
          <a:xfrm>
            <a:off x="-201214" y="1988840"/>
            <a:ext cx="9546102" cy="76346"/>
          </a:xfrm>
          <a:prstGeom prst="rect">
            <a:avLst/>
          </a:prstGeom>
          <a:gradFill>
            <a:gsLst>
              <a:gs pos="0">
                <a:srgbClr val="0082CC"/>
              </a:gs>
              <a:gs pos="100000">
                <a:srgbClr val="FE8614"/>
              </a:gs>
              <a:gs pos="67000">
                <a:srgbClr val="0082CC"/>
              </a:gs>
              <a:gs pos="88000">
                <a:srgbClr val="F54C08"/>
              </a:gs>
            </a:gsLst>
            <a:lin ang="0" scaled="0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grpSp>
        <xdr:nvGrpSpPr>
          <xdr:cNvPr id="12" name="그룹 11">
            <a:extLst>
              <a:ext uri="{FF2B5EF4-FFF2-40B4-BE49-F238E27FC236}">
                <a16:creationId xmlns:a16="http://schemas.microsoft.com/office/drawing/2014/main" id="{20611537-BA24-7D95-94DA-180032669698}"/>
              </a:ext>
            </a:extLst>
          </xdr:cNvPr>
          <xdr:cNvGrpSpPr/>
        </xdr:nvGrpSpPr>
        <xdr:grpSpPr>
          <a:xfrm>
            <a:off x="-192154" y="5666866"/>
            <a:ext cx="9537043" cy="493635"/>
            <a:chOff x="-6102" y="4199018"/>
            <a:chExt cx="8618357" cy="587714"/>
          </a:xfrm>
        </xdr:grpSpPr>
        <xdr:sp macro="" textlink="">
          <xdr:nvSpPr>
            <xdr:cNvPr id="13" name="직사각형 12">
              <a:extLst>
                <a:ext uri="{FF2B5EF4-FFF2-40B4-BE49-F238E27FC236}">
                  <a16:creationId xmlns:a16="http://schemas.microsoft.com/office/drawing/2014/main" id="{719925A2-B6FE-600E-7073-11FDD4F08815}"/>
                </a:ext>
              </a:extLst>
            </xdr:cNvPr>
            <xdr:cNvSpPr/>
          </xdr:nvSpPr>
          <xdr:spPr>
            <a:xfrm>
              <a:off x="-6102" y="4452353"/>
              <a:ext cx="8618357" cy="334379"/>
            </a:xfrm>
            <a:prstGeom prst="rect">
              <a:avLst/>
            </a:prstGeom>
            <a:pattFill prst="pct5">
              <a:fgClr>
                <a:srgbClr val="0071B2"/>
              </a:fgClr>
              <a:bgClr>
                <a:schemeClr val="tx2">
                  <a:lumMod val="75000"/>
                </a:schemeClr>
              </a:bgClr>
            </a:patt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14" name="직사각형 13">
              <a:extLst>
                <a:ext uri="{FF2B5EF4-FFF2-40B4-BE49-F238E27FC236}">
                  <a16:creationId xmlns:a16="http://schemas.microsoft.com/office/drawing/2014/main" id="{AC479EA2-BFEC-697A-1FF0-243F6CA08CE6}"/>
                </a:ext>
              </a:extLst>
            </xdr:cNvPr>
            <xdr:cNvSpPr/>
          </xdr:nvSpPr>
          <xdr:spPr>
            <a:xfrm>
              <a:off x="-4992" y="4199018"/>
              <a:ext cx="8616953" cy="337783"/>
            </a:xfrm>
            <a:prstGeom prst="rect">
              <a:avLst/>
            </a:prstGeom>
            <a:pattFill prst="pct5">
              <a:fgClr>
                <a:srgbClr val="0071B2"/>
              </a:fgClr>
              <a:bgClr>
                <a:srgbClr val="0082CC"/>
              </a:bgClr>
            </a:patt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</xdr:grpSp>
    <xdr:clientData/>
  </xdr:twoCellAnchor>
  <xdr:twoCellAnchor>
    <xdr:from>
      <xdr:col>0</xdr:col>
      <xdr:colOff>190500</xdr:colOff>
      <xdr:row>0</xdr:row>
      <xdr:rowOff>171450</xdr:rowOff>
    </xdr:from>
    <xdr:to>
      <xdr:col>1</xdr:col>
      <xdr:colOff>390525</xdr:colOff>
      <xdr:row>2</xdr:row>
      <xdr:rowOff>171450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44FA42A-CDC0-4C95-9BA5-007D3FDBB042}"/>
            </a:ext>
          </a:extLst>
        </xdr:cNvPr>
        <xdr:cNvSpPr/>
      </xdr:nvSpPr>
      <xdr:spPr>
        <a:xfrm>
          <a:off x="190500" y="171450"/>
          <a:ext cx="885825" cy="419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ko-KR" altLang="en-US" sz="1800" b="1">
              <a:solidFill>
                <a:srgbClr val="FF0000"/>
              </a:solidFill>
            </a:rPr>
            <a:t>대외비</a:t>
          </a:r>
        </a:p>
      </xdr:txBody>
    </xdr:sp>
    <xdr:clientData/>
  </xdr:twoCellAnchor>
  <xdr:twoCellAnchor>
    <xdr:from>
      <xdr:col>0</xdr:col>
      <xdr:colOff>428625</xdr:colOff>
      <xdr:row>23</xdr:row>
      <xdr:rowOff>28575</xdr:rowOff>
    </xdr:from>
    <xdr:to>
      <xdr:col>13</xdr:col>
      <xdr:colOff>219075</xdr:colOff>
      <xdr:row>25</xdr:row>
      <xdr:rowOff>200022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4ADA0D0-AFAD-4372-B185-211F0FA16B71}"/>
            </a:ext>
          </a:extLst>
        </xdr:cNvPr>
        <xdr:cNvSpPr/>
      </xdr:nvSpPr>
      <xdr:spPr>
        <a:xfrm>
          <a:off x="428625" y="4848225"/>
          <a:ext cx="8705850" cy="5905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 eaLnBrk="1" fontAlgn="base" latinLnBrk="0" hangingPunct="1"/>
          <a:r>
            <a:rPr lang="en-US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본 보고서는 보안에 관련된 내용이 기술되어 있으므로 본 문서를 열람할 권한이 없는 자에게 공개를 제한하며</a:t>
          </a:r>
          <a:r>
            <a:rPr lang="en-US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업무관련자 또한 조치완료 후 본 문서를 폐기하여야 합니다</a:t>
          </a:r>
          <a:r>
            <a:rPr lang="en-US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algn="ctr" rtl="0" eaLnBrk="1" fontAlgn="base" latinLnBrk="0" hangingPunct="1"/>
          <a:r>
            <a:rPr lang="ko-KR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따라서 </a:t>
          </a:r>
          <a:r>
            <a:rPr lang="ko-KR" altLang="ko-KR" sz="9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사전 승인 없이 본 내용을 전부 또는 일부에 대한 복사</a:t>
          </a:r>
          <a:r>
            <a:rPr lang="en-US" altLang="ko-KR" sz="9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9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전제</a:t>
          </a:r>
          <a:r>
            <a:rPr lang="en-US" altLang="ko-KR" sz="9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9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배포</a:t>
          </a:r>
          <a:r>
            <a:rPr lang="en-US" altLang="ko-KR" sz="9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9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사용 등을 금지</a:t>
          </a:r>
          <a:r>
            <a:rPr lang="ko-KR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합니다</a:t>
          </a:r>
          <a:r>
            <a:rPr lang="en-US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</xdr:col>
      <xdr:colOff>654050</xdr:colOff>
      <xdr:row>29</xdr:row>
      <xdr:rowOff>104775</xdr:rowOff>
    </xdr:from>
    <xdr:to>
      <xdr:col>8</xdr:col>
      <xdr:colOff>41221</xdr:colOff>
      <xdr:row>31</xdr:row>
      <xdr:rowOff>64033</xdr:rowOff>
    </xdr:to>
    <xdr:pic>
      <xdr:nvPicPr>
        <xdr:cNvPr id="23" name="_x196634128" descr="EMB000006b0253a">
          <a:extLst>
            <a:ext uri="{FF2B5EF4-FFF2-40B4-BE49-F238E27FC236}">
              <a16:creationId xmlns:a16="http://schemas.microsoft.com/office/drawing/2014/main" id="{3D38081D-EE36-4FDD-A7AC-623350F3A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89650"/>
          <a:ext cx="1435046" cy="3720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13</xdr:row>
      <xdr:rowOff>28574</xdr:rowOff>
    </xdr:from>
    <xdr:to>
      <xdr:col>23</xdr:col>
      <xdr:colOff>271125</xdr:colOff>
      <xdr:row>32</xdr:row>
      <xdr:rowOff>11024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A9AFA68-2C9C-43A1-B0DA-6438369DA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13</xdr:row>
      <xdr:rowOff>47625</xdr:rowOff>
    </xdr:from>
    <xdr:to>
      <xdr:col>15</xdr:col>
      <xdr:colOff>98475</xdr:colOff>
      <xdr:row>32</xdr:row>
      <xdr:rowOff>30075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A463180-213D-44F4-B443-252D2109C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13</xdr:row>
      <xdr:rowOff>28574</xdr:rowOff>
    </xdr:from>
    <xdr:to>
      <xdr:col>23</xdr:col>
      <xdr:colOff>271125</xdr:colOff>
      <xdr:row>32</xdr:row>
      <xdr:rowOff>11024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E292B70-CCC5-4D3F-9BC4-FB3CE49DB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13</xdr:row>
      <xdr:rowOff>47625</xdr:rowOff>
    </xdr:from>
    <xdr:to>
      <xdr:col>15</xdr:col>
      <xdr:colOff>98475</xdr:colOff>
      <xdr:row>32</xdr:row>
      <xdr:rowOff>30075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E19E60D-1F17-438B-B943-4D87543AE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Administrator/Documents/&#52852;&#52852;&#50724;&#53665;%20&#48155;&#51008;%20&#54028;&#51068;/01_UNIX%20&#49436;&#48260;%20&#52712;&#50557;&#51216;&#51652;&#45800;%20&#49345;&#49464;&#44208;&#44284;_&#48372;&#50504;&#44288;&#51228;&#51333;&#54633;&#49884;&#49828;&#53596;.xlsm" TargetMode="External"/><Relationship Id="rId2" Type="http://schemas.openxmlformats.org/officeDocument/2006/relationships/externalLinkPath" Target="file:///C:\Users\Administrator\Documents\&#52852;&#52852;&#50724;&#53665;%20&#48155;&#51008;%20&#54028;&#51068;\01_UNIX%20&#49436;&#48260;%20&#52712;&#50557;&#51216;&#51652;&#45800;%20&#49345;&#49464;&#44208;&#44284;_&#48372;&#50504;&#44288;&#51228;&#51333;&#54633;&#49884;&#49828;&#53596;.xlsm" TargetMode="External"/><Relationship Id="rId1" Type="http://schemas.openxmlformats.org/officeDocument/2006/relationships/externalLinkPath" Target="/Users/Administrator/Documents/&#52852;&#52852;&#50724;&#53665;%20&#48155;&#51008;%20&#54028;&#51068;/01_UNIX%20&#49436;&#48260;%20&#52712;&#50557;&#51216;&#51652;&#45800;%20&#49345;&#49464;&#44208;&#44284;_&#48372;&#50504;&#44288;&#51228;&#51333;&#54633;&#49884;&#49828;&#53596;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Administrator/Downloads/batch_9_result%20(16).xlsx" TargetMode="External"/><Relationship Id="rId2" Type="http://schemas.openxmlformats.org/officeDocument/2006/relationships/externalLinkPath" Target="file:///C:\Users\Administrator\Downloads\batch_9_result%20(16).xlsx" TargetMode="External"/><Relationship Id="rId1" Type="http://schemas.openxmlformats.org/officeDocument/2006/relationships/externalLinkPath" Target="/Users/Administrator/Downloads/batch_9_result%20(1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표지"/>
      <sheetName val="Ⅰ.개요"/>
      <sheetName val="Ⅱ. 수행내역"/>
      <sheetName val="Ⅲ. 점검 대상"/>
      <sheetName val="Ⅳ. 보안점검 결과_총평"/>
      <sheetName val="Ⅳ. 이행점검 결과_총평"/>
      <sheetName val="Ⅳ. 보안점검 결과_요약"/>
      <sheetName val="Ⅳ. 이행점검 결과_요약"/>
      <sheetName val="Ⅴ. 보안점검 결과 전체"/>
      <sheetName val="Ⅴ. 이행점검 결과 전체"/>
      <sheetName val="대응방안"/>
      <sheetName val="hidden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6">
          <cell r="B26" t="str">
            <v>종합분석웹시스템#01</v>
          </cell>
          <cell r="C26">
            <v>2</v>
          </cell>
          <cell r="D26">
            <v>0</v>
          </cell>
          <cell r="E26">
            <v>0</v>
          </cell>
          <cell r="G26" t="str">
            <v>종합분석웹시스템#01</v>
          </cell>
          <cell r="H26">
            <v>0</v>
          </cell>
          <cell r="I26">
            <v>1</v>
          </cell>
          <cell r="J26">
            <v>1</v>
          </cell>
          <cell r="N26" t="str">
            <v>종합분석웹시스템#01</v>
          </cell>
          <cell r="O26">
            <v>2</v>
          </cell>
          <cell r="Q26" t="str">
            <v>종합분석웹시스템#01</v>
          </cell>
          <cell r="R26">
            <v>0</v>
          </cell>
        </row>
        <row r="27">
          <cell r="B27" t="str">
            <v>종합분석웹시스템#02</v>
          </cell>
          <cell r="C27">
            <v>2</v>
          </cell>
          <cell r="D27">
            <v>0</v>
          </cell>
          <cell r="E27">
            <v>0</v>
          </cell>
          <cell r="G27" t="str">
            <v>종합분석웹시스템#02</v>
          </cell>
          <cell r="H27">
            <v>0</v>
          </cell>
          <cell r="I27">
            <v>1</v>
          </cell>
          <cell r="J27">
            <v>1</v>
          </cell>
        </row>
        <row r="28">
          <cell r="B28" t="str">
            <v>장애감시시스템#01</v>
          </cell>
          <cell r="C28">
            <v>2</v>
          </cell>
          <cell r="D28">
            <v>0</v>
          </cell>
          <cell r="E28">
            <v>0</v>
          </cell>
          <cell r="G28" t="str">
            <v>장애감시시스템#01</v>
          </cell>
          <cell r="H28">
            <v>0</v>
          </cell>
          <cell r="I28">
            <v>1</v>
          </cell>
          <cell r="J28">
            <v>1</v>
          </cell>
        </row>
        <row r="29">
          <cell r="B29" t="str">
            <v>장애감시시스템#02</v>
          </cell>
          <cell r="C29">
            <v>2</v>
          </cell>
          <cell r="D29">
            <v>0</v>
          </cell>
          <cell r="E29">
            <v>0</v>
          </cell>
          <cell r="G29" t="str">
            <v>장애감시시스템#02</v>
          </cell>
          <cell r="H29">
            <v>0</v>
          </cell>
          <cell r="I29">
            <v>1</v>
          </cell>
          <cell r="J29">
            <v>1</v>
          </cell>
        </row>
        <row r="30">
          <cell r="B30" t="str">
            <v>장애감시시스템#03</v>
          </cell>
          <cell r="C30">
            <v>2</v>
          </cell>
          <cell r="D30">
            <v>0</v>
          </cell>
          <cell r="E30">
            <v>0</v>
          </cell>
          <cell r="G30" t="str">
            <v>장애감시시스템#03</v>
          </cell>
          <cell r="H30">
            <v>0</v>
          </cell>
          <cell r="I30">
            <v>1</v>
          </cell>
          <cell r="J30">
            <v>1</v>
          </cell>
        </row>
        <row r="31">
          <cell r="B31" t="str">
            <v>종합분석시스템#01</v>
          </cell>
          <cell r="C31">
            <v>2</v>
          </cell>
          <cell r="G31" t="str">
            <v>종합분석시스템#01</v>
          </cell>
          <cell r="H31">
            <v>0</v>
          </cell>
        </row>
        <row r="32">
          <cell r="B32" t="str">
            <v>종합분석시스템#02</v>
          </cell>
          <cell r="C32">
            <v>2</v>
          </cell>
          <cell r="G32" t="str">
            <v>종합분석시스템#02</v>
          </cell>
          <cell r="H32">
            <v>0</v>
          </cell>
        </row>
        <row r="33">
          <cell r="B33" t="str">
            <v>종합분석시스템#03</v>
          </cell>
          <cell r="C33">
            <v>2</v>
          </cell>
          <cell r="G33" t="str">
            <v>종합분석시스템#03</v>
          </cell>
          <cell r="H33">
            <v>0</v>
          </cell>
        </row>
        <row r="34">
          <cell r="B34" t="str">
            <v>종합분석시스템#04</v>
          </cell>
          <cell r="C34">
            <v>2</v>
          </cell>
          <cell r="G34" t="str">
            <v>종합분석시스템#04</v>
          </cell>
          <cell r="H34">
            <v>0</v>
          </cell>
        </row>
        <row r="35">
          <cell r="B35" t="str">
            <v>종합분석시스템#05</v>
          </cell>
          <cell r="C35">
            <v>2</v>
          </cell>
          <cell r="G35" t="str">
            <v>종합분석시스템#05</v>
          </cell>
          <cell r="H35">
            <v>0</v>
          </cell>
        </row>
        <row r="36">
          <cell r="B36" t="str">
            <v>종합분석시스템#06</v>
          </cell>
          <cell r="C36">
            <v>2</v>
          </cell>
          <cell r="G36" t="str">
            <v>종합분석시스템#06</v>
          </cell>
          <cell r="H36">
            <v>0</v>
          </cell>
        </row>
        <row r="37">
          <cell r="B37" t="str">
            <v>종합분석시스템#07</v>
          </cell>
          <cell r="C37">
            <v>2</v>
          </cell>
          <cell r="G37" t="str">
            <v>종합분석시스템#07</v>
          </cell>
          <cell r="H37">
            <v>0</v>
          </cell>
        </row>
        <row r="38">
          <cell r="B38" t="str">
            <v>종합분석시스템#08</v>
          </cell>
          <cell r="C38">
            <v>2</v>
          </cell>
          <cell r="G38" t="str">
            <v>종합분석시스템#08</v>
          </cell>
          <cell r="H38">
            <v>0</v>
          </cell>
        </row>
        <row r="39">
          <cell r="B39" t="str">
            <v>사이버위협정보공유웹시스템#01</v>
          </cell>
          <cell r="C39">
            <v>2</v>
          </cell>
          <cell r="G39" t="str">
            <v>사이버위협정보공유웹시스템#01</v>
          </cell>
          <cell r="H39">
            <v>0</v>
          </cell>
        </row>
        <row r="40">
          <cell r="B40" t="str">
            <v>사이버위협정보공유웹시스템#02</v>
          </cell>
          <cell r="C40">
            <v>2</v>
          </cell>
          <cell r="G40" t="str">
            <v>사이버위협정보공유웹시스템#02</v>
          </cell>
          <cell r="H40">
            <v>0</v>
          </cell>
        </row>
        <row r="41">
          <cell r="B41" t="str">
            <v>탐지규칙배포시스템#01</v>
          </cell>
          <cell r="C41">
            <v>2</v>
          </cell>
          <cell r="G41" t="str">
            <v>탐지규칙배포시스템#01</v>
          </cell>
          <cell r="H41">
            <v>0</v>
          </cell>
        </row>
        <row r="42">
          <cell r="B42" t="str">
            <v>탐지규칙배포시스템#02</v>
          </cell>
          <cell r="C42">
            <v>2</v>
          </cell>
          <cell r="G42" t="str">
            <v>탐지규칙배포시스템#02</v>
          </cell>
          <cell r="H42">
            <v>0</v>
          </cell>
        </row>
        <row r="43">
          <cell r="B43" t="str">
            <v>외부연계시스템#01</v>
          </cell>
          <cell r="C43">
            <v>2</v>
          </cell>
          <cell r="G43" t="str">
            <v>외부연계시스템#01</v>
          </cell>
          <cell r="H43">
            <v>0</v>
          </cell>
        </row>
        <row r="44">
          <cell r="B44" t="str">
            <v>외부연계시스템#02</v>
          </cell>
          <cell r="C44">
            <v>2</v>
          </cell>
          <cell r="G44" t="str">
            <v>외부연계시스템#02</v>
          </cell>
          <cell r="H44">
            <v>0</v>
          </cell>
        </row>
        <row r="45">
          <cell r="B45" t="str">
            <v>위협수집시스템#01</v>
          </cell>
          <cell r="C45">
            <v>2</v>
          </cell>
          <cell r="G45" t="str">
            <v>위협수집시스템#01</v>
          </cell>
          <cell r="H45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idden"/>
      <sheetName val="Ⅰ. 표지"/>
      <sheetName val="Ⅱ. 개요"/>
      <sheetName val="Ⅲ. 점검대상"/>
      <sheetName val="Ⅳ. 보안점검 결과"/>
      <sheetName val="대응방안"/>
      <sheetName val="Ⅳ. 보안점검 총평"/>
      <sheetName val="Ⅴ. 이행점검 결과"/>
      <sheetName val="depth-web1"/>
      <sheetName val="depth-web2"/>
      <sheetName val="depth-proxy1"/>
      <sheetName val="depth-proxy2"/>
      <sheetName val="depth-was1"/>
      <sheetName val="depth-was2"/>
      <sheetName val="depth-pdf1"/>
      <sheetName val="depth-pdf2"/>
      <sheetName val="depth-neis1"/>
      <sheetName val="depth-neis2"/>
      <sheetName val="depth-db1"/>
      <sheetName val="depth-db2"/>
    </sheetNames>
    <sheetDataSet>
      <sheetData sheetId="0">
        <row r="3">
          <cell r="B3" t="str">
            <v>평가점수</v>
          </cell>
        </row>
        <row r="4">
          <cell r="A4" t="str">
            <v>depth-neis1</v>
          </cell>
          <cell r="B4">
            <v>0.68456375838926176</v>
          </cell>
        </row>
        <row r="5">
          <cell r="A5" t="str">
            <v>depth-was1</v>
          </cell>
          <cell r="B5">
            <v>0.69463087248322153</v>
          </cell>
        </row>
        <row r="6">
          <cell r="A6" t="str">
            <v>depth-was2</v>
          </cell>
          <cell r="B6">
            <v>0.69463087248322153</v>
          </cell>
        </row>
        <row r="7">
          <cell r="A7" t="str">
            <v>depth-db1</v>
          </cell>
          <cell r="B7">
            <v>0.69463087248322153</v>
          </cell>
        </row>
        <row r="8">
          <cell r="A8" t="str">
            <v>depth-db2</v>
          </cell>
          <cell r="B8">
            <v>0.69463087248322153</v>
          </cell>
        </row>
      </sheetData>
      <sheetData sheetId="1"/>
      <sheetData sheetId="2"/>
      <sheetData sheetId="3"/>
      <sheetData sheetId="4">
        <row r="73">
          <cell r="E73" t="str">
            <v>상</v>
          </cell>
          <cell r="F73">
            <v>17</v>
          </cell>
        </row>
        <row r="74">
          <cell r="E74" t="str">
            <v>중</v>
          </cell>
          <cell r="F74">
            <v>12</v>
          </cell>
        </row>
        <row r="75">
          <cell r="E75" t="str">
            <v>하</v>
          </cell>
          <cell r="F75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FEA4C1-F0A6-4AEF-AEE7-ABAE37BDCCE9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2dfa8662-84f1-4c32-8596-428cf21b54e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2750-C792-4C2A-9A61-6C580194804B}">
  <dimension ref="A1:B17"/>
  <sheetViews>
    <sheetView workbookViewId="0">
      <selection activeCell="D17" sqref="D17"/>
    </sheetView>
  </sheetViews>
  <sheetFormatPr defaultRowHeight="16.5" x14ac:dyDescent="0.3"/>
  <cols>
    <col min="1" max="1" width="20" customWidth="1"/>
    <col min="2" max="2" width="31.625" customWidth="1"/>
  </cols>
  <sheetData>
    <row r="1" spans="1:2" ht="42" customHeight="1" x14ac:dyDescent="0.3">
      <c r="A1" s="172" t="s">
        <v>350</v>
      </c>
      <c r="B1" s="172"/>
    </row>
    <row r="2" spans="1:2" x14ac:dyDescent="0.3">
      <c r="A2" s="173" t="s">
        <v>351</v>
      </c>
      <c r="B2" s="174">
        <f>COUNTA('Ⅳ. 보안점검 결과'!$G$4:$XFD$4)</f>
        <v>0</v>
      </c>
    </row>
    <row r="3" spans="1:2" x14ac:dyDescent="0.3">
      <c r="A3" s="173" t="s">
        <v>352</v>
      </c>
      <c r="B3" s="173" t="s">
        <v>353</v>
      </c>
    </row>
    <row r="4" spans="1:2" x14ac:dyDescent="0.3">
      <c r="A4" s="175" t="str">
        <f>IFERROR(INDEX('Ⅳ. 보안점검 결과'!$G$4:$XFD$4,MATCH(SMALL('Ⅳ. 보안점검 결과'!$G$76:$XFD$76,1),'Ⅳ. 보안점검 결과'!$G$76:$XFD$76,0)),"")</f>
        <v/>
      </c>
      <c r="B4" s="176" t="str">
        <f>IFERROR(SMALL('Ⅳ. 보안점검 결과'!$G$76:$XFD$76,1),"")</f>
        <v/>
      </c>
    </row>
    <row r="5" spans="1:2" x14ac:dyDescent="0.3">
      <c r="A5" s="175" t="str" cm="1">
        <f t="array" ref="A5">IFERROR(INDEX('Ⅳ. 보안점검 결과'!$G$4:$XFD$4,MATCH(1,('Ⅳ. 보안점검 결과'!$G$76:$XFD$76=SMALL('Ⅳ. 보안점검 결과'!$G$76:$XFD$76,2))*(COUNTIF(A$4:A4,'Ⅳ. 보안점검 결과'!$G$4:$XFD$4)=0),0)),"")</f>
        <v/>
      </c>
      <c r="B5" s="176" t="str">
        <f>IFERROR(SMALL('Ⅳ. 보안점검 결과'!$G$76:$XFD$76,2),"")</f>
        <v/>
      </c>
    </row>
    <row r="6" spans="1:2" x14ac:dyDescent="0.3">
      <c r="A6" s="175" t="str" cm="1">
        <f t="array" ref="A6">IFERROR(INDEX('Ⅳ. 보안점검 결과'!$G$4:$XFD$4,MATCH(1,('Ⅳ. 보안점검 결과'!$G$76:$XFD$76=SMALL('Ⅳ. 보안점검 결과'!$G$76:$XFD$76,3))*(COUNTIF(A$4:A5,'Ⅳ. 보안점검 결과'!$G$4:$XFD$4)=0),0)),"")</f>
        <v/>
      </c>
      <c r="B6" s="176" t="str">
        <f>IFERROR(SMALL('Ⅳ. 보안점검 결과'!$G$76:$XFD$76,3),"")</f>
        <v/>
      </c>
    </row>
    <row r="7" spans="1:2" x14ac:dyDescent="0.3">
      <c r="A7" s="175" t="str" cm="1">
        <f t="array" ref="A7">IFERROR(INDEX('Ⅳ. 보안점검 결과'!$G$4:$XFD$4,MATCH(1,('Ⅳ. 보안점검 결과'!$G$76:$XFD$76=SMALL('Ⅳ. 보안점검 결과'!$G$76:$XFD$76,4))*(COUNTIF(A$4:A6,'Ⅳ. 보안점검 결과'!$G$4:$XFD$4)=0),0)),"")</f>
        <v/>
      </c>
      <c r="B7" s="176" t="str">
        <f>IFERROR(SMALL('Ⅳ. 보안점검 결과'!$G$76:$XFD$76,4),"")</f>
        <v/>
      </c>
    </row>
    <row r="8" spans="1:2" x14ac:dyDescent="0.3">
      <c r="A8" s="175" t="str" cm="1">
        <f t="array" ref="A8">IFERROR(INDEX('Ⅳ. 보안점검 결과'!$G$4:$XFD$4,MATCH(1,('Ⅳ. 보안점검 결과'!$G$76:$XFD$76=SMALL('Ⅳ. 보안점검 결과'!$G$76:$XFD$76,5))*(COUNTIF(A$4:A7,'Ⅳ. 보안점검 결과'!$G$4:$XFD$4)=0),0)),"")</f>
        <v/>
      </c>
      <c r="B8" s="176" t="str">
        <f>IFERROR(SMALL('Ⅳ. 보안점검 결과'!$G$76:$XFD$76,5),"")</f>
        <v/>
      </c>
    </row>
    <row r="10" spans="1:2" ht="42" customHeight="1" x14ac:dyDescent="0.3">
      <c r="A10" s="179" t="s">
        <v>356</v>
      </c>
      <c r="B10" s="180"/>
    </row>
    <row r="11" spans="1:2" x14ac:dyDescent="0.3">
      <c r="A11" s="177" t="s">
        <v>351</v>
      </c>
      <c r="B11" s="178">
        <f>COUNTA('Ⅳ. 보안점검 결과'!$G$4:$XFD$4)</f>
        <v>0</v>
      </c>
    </row>
    <row r="12" spans="1:2" x14ac:dyDescent="0.3">
      <c r="A12" s="177" t="s">
        <v>352</v>
      </c>
      <c r="B12" s="177" t="s">
        <v>353</v>
      </c>
    </row>
    <row r="13" spans="1:2" x14ac:dyDescent="0.3">
      <c r="A13" s="181" t="str">
        <f>IFERROR(INDEX('Ⅴ. 이행점검 결과'!$G$4:$XFD$4,MATCH(SMALL('Ⅴ. 이행점검 결과'!$G$76:$XFD$76,1),'Ⅴ. 이행점검 결과'!$G$76:$XFD$76,0)),"")</f>
        <v/>
      </c>
      <c r="B13" s="182" t="str">
        <f>IFERROR(SMALL('Ⅴ. 이행점검 결과'!$G$76:$XFD$76,1),"")</f>
        <v/>
      </c>
    </row>
    <row r="14" spans="1:2" x14ac:dyDescent="0.3">
      <c r="A14" s="181" t="str" cm="1">
        <f t="array" ref="A14">IFERROR(INDEX('Ⅴ. 이행점검 결과'!$G$4:$XFD$4,MATCH(1,('Ⅴ. 이행점검 결과'!$G$76:$XFD$76=SMALL('Ⅴ. 이행점검 결과'!$G$76:$XFD$76,2))*(COUNTIF(A$13:A13,'Ⅴ. 이행점검 결과'!$G$4:$XFD$4)=0),0)),"")</f>
        <v/>
      </c>
      <c r="B14" s="182" t="str">
        <f>IFERROR(SMALL('Ⅴ. 이행점검 결과'!$G$76:$XFD$76,2),"")</f>
        <v/>
      </c>
    </row>
    <row r="15" spans="1:2" x14ac:dyDescent="0.3">
      <c r="A15" s="181" t="str" cm="1">
        <f t="array" ref="A15">IFERROR(INDEX('Ⅴ. 이행점검 결과'!$G$4:$XFD$4,MATCH(1,('Ⅴ. 이행점검 결과'!$G$76:$XFD$76=SMALL('Ⅴ. 이행점검 결과'!$G$76:$XFD$76,3))*(COUNTIF(A$13:A14,'Ⅴ. 이행점검 결과'!$G$4:$XFD$4)=0),0)),"")</f>
        <v/>
      </c>
      <c r="B15" s="182" t="str">
        <f>IFERROR(SMALL('Ⅴ. 이행점검 결과'!$G$76:$XFD$76,3),"")</f>
        <v/>
      </c>
    </row>
    <row r="16" spans="1:2" x14ac:dyDescent="0.3">
      <c r="A16" s="181" t="str" cm="1">
        <f t="array" ref="A16">IFERROR(INDEX('Ⅴ. 이행점검 결과'!$G$4:$XFD$4,MATCH(1,('Ⅴ. 이행점검 결과'!$G$76:$XFD$76=SMALL('Ⅴ. 이행점검 결과'!$G$76:$XFD$76,4))*(COUNTIF(A$13:A15,'Ⅴ. 이행점검 결과'!$G$4:$XFD$4)=0),0)),"")</f>
        <v/>
      </c>
      <c r="B16" s="182" t="str">
        <f>IFERROR(SMALL('Ⅴ. 이행점검 결과'!$G$76:$XFD$76,4),"")</f>
        <v/>
      </c>
    </row>
    <row r="17" spans="1:2" x14ac:dyDescent="0.3">
      <c r="A17" s="181" t="str" cm="1">
        <f t="array" ref="A17">IFERROR(INDEX('Ⅴ. 이행점검 결과'!$G$4:$XFD$4,MATCH(1,('Ⅴ. 이행점검 결과'!$G$76:$XFD$76=SMALL('Ⅴ. 이행점검 결과'!$G$76:$XFD$76,5))*(COUNTIF(A$13:A16,'Ⅴ. 이행점검 결과'!$G$4:$XFD$4)=0),0)),"")</f>
        <v/>
      </c>
      <c r="B17" s="182" t="str">
        <f>IFERROR(SMALL('Ⅴ. 이행점검 결과'!$G$76:$XFD$76,5),"")</f>
        <v/>
      </c>
    </row>
  </sheetData>
  <mergeCells count="2">
    <mergeCell ref="A1:B1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DD16-E1B0-494D-A6C5-D6D0617433B4}">
  <sheetPr>
    <tabColor theme="3" tint="0.89999084444715716"/>
  </sheetPr>
  <dimension ref="A1:N32"/>
  <sheetViews>
    <sheetView tabSelected="1" view="pageBreakPreview" zoomScaleNormal="100" zoomScaleSheetLayoutView="100" workbookViewId="0">
      <selection activeCell="A7" sqref="A7:N9"/>
    </sheetView>
  </sheetViews>
  <sheetFormatPr defaultRowHeight="16.5" x14ac:dyDescent="0.3"/>
  <sheetData>
    <row r="1" spans="1:14" ht="16.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6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6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6.5" customHeight="1" x14ac:dyDescent="0.3">
      <c r="A7" s="130" t="s">
        <v>344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</row>
    <row r="8" spans="1:14" ht="16.5" customHeight="1" x14ac:dyDescent="0.3">
      <c r="A8" s="130"/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</row>
    <row r="9" spans="1:14" ht="16.5" customHeight="1" x14ac:dyDescent="0.3">
      <c r="A9" s="130"/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</row>
    <row r="10" spans="1:14" ht="16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customHeight="1" x14ac:dyDescent="0.3">
      <c r="A11" s="131" t="s">
        <v>346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</row>
    <row r="12" spans="1:14" ht="16.5" customHeight="1" x14ac:dyDescent="0.3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</row>
    <row r="13" spans="1:14" ht="16.5" customHeight="1" x14ac:dyDescent="0.3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</row>
    <row r="14" spans="1:14" ht="16.5" customHeight="1" x14ac:dyDescent="0.3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</row>
    <row r="15" spans="1:14" ht="16.5" customHeight="1" x14ac:dyDescent="0.3">
      <c r="A15" s="132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</row>
    <row r="16" spans="1:14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</sheetData>
  <mergeCells count="2">
    <mergeCell ref="A7:N9"/>
    <mergeCell ref="A11:N15"/>
  </mergeCells>
  <phoneticPr fontId="1" type="noConversion"/>
  <pageMargins left="0.7" right="0.7" top="0.75" bottom="0.75" header="0.3" footer="0.3"/>
  <pageSetup paperSize="9" scale="6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0972-0A1E-4119-9489-974947B9B5D4}">
  <sheetPr>
    <tabColor theme="3" tint="0.89999084444715716"/>
  </sheetPr>
  <dimension ref="A1:Z35"/>
  <sheetViews>
    <sheetView tabSelected="1" view="pageBreakPreview" zoomScaleNormal="100" zoomScaleSheetLayoutView="100" workbookViewId="0">
      <selection activeCell="A7" sqref="A7:N9"/>
    </sheetView>
  </sheetViews>
  <sheetFormatPr defaultRowHeight="16.5" x14ac:dyDescent="0.3"/>
  <cols>
    <col min="1" max="26" width="4.625" style="45" customWidth="1"/>
  </cols>
  <sheetData>
    <row r="1" spans="1:26" ht="14.1" customHeight="1" x14ac:dyDescent="0.3">
      <c r="A1" s="48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9"/>
    </row>
    <row r="2" spans="1:26" ht="14.1" customHeight="1" x14ac:dyDescent="0.3">
      <c r="A2" s="136" t="s">
        <v>238</v>
      </c>
      <c r="B2" s="137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1"/>
    </row>
    <row r="3" spans="1:26" ht="14.1" customHeight="1" x14ac:dyDescent="0.3">
      <c r="A3" s="52"/>
      <c r="B3" s="53"/>
      <c r="C3" s="119"/>
      <c r="D3" s="53"/>
      <c r="E3" s="53"/>
      <c r="F3" s="53"/>
      <c r="G3" s="53"/>
      <c r="H3" s="53"/>
      <c r="I3" s="53"/>
      <c r="J3" s="53"/>
      <c r="K3" s="53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1"/>
    </row>
    <row r="4" spans="1:26" ht="14.1" customHeight="1" x14ac:dyDescent="0.3">
      <c r="A4" s="54"/>
      <c r="B4" s="55" t="s">
        <v>239</v>
      </c>
      <c r="C4" s="56"/>
      <c r="D4" s="57"/>
      <c r="E4" s="56"/>
      <c r="F4" s="56"/>
      <c r="G4" s="56"/>
      <c r="H4" s="56"/>
      <c r="I4" s="56"/>
      <c r="J4" s="56"/>
      <c r="K4" s="56"/>
      <c r="L4" s="56"/>
      <c r="M4" s="56"/>
      <c r="N4" s="56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1"/>
    </row>
    <row r="5" spans="1:26" ht="14.1" customHeight="1" x14ac:dyDescent="0.3">
      <c r="A5" s="54"/>
      <c r="B5" s="138" t="str">
        <f>'Ⅰ. 표지'!A7 &amp;"에서 운영 중인 서버를 대상으로 보안점검을 수행하여 현재의 보안 수준을 파악, 발견된 취약점에 대한 기술적인 대책을 수립함으로써 의 IT환경을 더욱 신뢰성 있고 안전한 환경을 구축하여, 서비스의 안정성을 확보하는데 있습니다."</f>
        <v>업체명에서 운영 중인 서버를 대상으로 보안점검을 수행하여 현재의 보안 수준을 파악, 발견된 취약점에 대한 기술적인 대책을 수립함으로써 의 IT환경을 더욱 신뢰성 있고 안전한 환경을 구축하여, 서비스의 안정성을 확보하는데 있습니다.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51"/>
    </row>
    <row r="6" spans="1:26" ht="14.1" customHeight="1" x14ac:dyDescent="0.3">
      <c r="A6" s="54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51"/>
    </row>
    <row r="7" spans="1:26" ht="14.1" customHeight="1" x14ac:dyDescent="0.3">
      <c r="A7" s="54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1"/>
    </row>
    <row r="8" spans="1:26" ht="14.1" customHeight="1" x14ac:dyDescent="0.3">
      <c r="A8" s="54"/>
      <c r="B8" s="55" t="s">
        <v>240</v>
      </c>
      <c r="C8" s="56"/>
      <c r="D8" s="56"/>
      <c r="E8" s="56"/>
      <c r="F8" s="56"/>
      <c r="G8" s="56"/>
      <c r="H8" s="56"/>
      <c r="I8" s="56"/>
      <c r="J8" s="56"/>
      <c r="K8" s="56"/>
      <c r="L8" s="59"/>
      <c r="M8" s="56"/>
      <c r="N8" s="56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1"/>
    </row>
    <row r="9" spans="1:26" ht="14.1" customHeight="1" x14ac:dyDescent="0.3">
      <c r="A9" s="54"/>
      <c r="B9" s="139" t="s">
        <v>241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51"/>
    </row>
    <row r="10" spans="1:26" ht="14.1" customHeight="1" x14ac:dyDescent="0.3">
      <c r="A10" s="54"/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51"/>
    </row>
    <row r="11" spans="1:26" ht="14.1" customHeight="1" x14ac:dyDescent="0.3">
      <c r="A11" s="54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51"/>
    </row>
    <row r="12" spans="1:26" ht="14.1" customHeight="1" x14ac:dyDescent="0.3">
      <c r="A12" s="54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51"/>
    </row>
    <row r="13" spans="1:26" ht="14.1" customHeight="1" x14ac:dyDescent="0.3">
      <c r="A13" s="5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</row>
    <row r="14" spans="1:26" ht="14.1" customHeight="1" x14ac:dyDescent="0.3">
      <c r="A14" s="54"/>
      <c r="B14" s="55" t="s">
        <v>242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</row>
    <row r="15" spans="1:26" ht="14.1" customHeight="1" x14ac:dyDescent="0.3">
      <c r="A15" s="54"/>
      <c r="B15" s="138" t="s">
        <v>243</v>
      </c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51"/>
    </row>
    <row r="16" spans="1:26" ht="14.1" customHeight="1" x14ac:dyDescent="0.3">
      <c r="A16" s="54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51"/>
    </row>
    <row r="17" spans="1:26" ht="14.1" customHeight="1" x14ac:dyDescent="0.3">
      <c r="A17" s="54"/>
      <c r="B17" s="58"/>
      <c r="C17" s="50"/>
      <c r="D17" s="135" t="s">
        <v>244</v>
      </c>
      <c r="E17" s="135"/>
      <c r="F17" s="135"/>
      <c r="G17" s="135"/>
      <c r="H17" s="135"/>
      <c r="I17" s="135"/>
      <c r="J17" s="135" t="s">
        <v>245</v>
      </c>
      <c r="K17" s="135"/>
      <c r="L17" s="135"/>
      <c r="M17" s="135"/>
      <c r="N17" s="135"/>
      <c r="O17" s="135"/>
      <c r="P17" s="135"/>
      <c r="Q17" s="135"/>
      <c r="R17" s="135"/>
      <c r="S17" s="135" t="s">
        <v>246</v>
      </c>
      <c r="T17" s="135"/>
      <c r="U17" s="135"/>
      <c r="V17" s="135"/>
      <c r="W17" s="135"/>
      <c r="X17" s="50"/>
      <c r="Y17" s="50"/>
      <c r="Z17" s="51"/>
    </row>
    <row r="18" spans="1:26" ht="14.1" customHeight="1" x14ac:dyDescent="0.3">
      <c r="A18" s="54"/>
      <c r="B18" s="60"/>
      <c r="C18" s="50"/>
      <c r="D18" s="140" t="s">
        <v>345</v>
      </c>
      <c r="E18" s="140"/>
      <c r="F18" s="140"/>
      <c r="G18" s="140"/>
      <c r="H18" s="140"/>
      <c r="I18" s="140"/>
      <c r="J18" s="141" t="s">
        <v>247</v>
      </c>
      <c r="K18" s="142"/>
      <c r="L18" s="142"/>
      <c r="M18" s="142"/>
      <c r="N18" s="142"/>
      <c r="O18" s="142"/>
      <c r="P18" s="142"/>
      <c r="Q18" s="142"/>
      <c r="R18" s="143"/>
      <c r="S18" s="134" t="s">
        <v>248</v>
      </c>
      <c r="T18" s="134"/>
      <c r="U18" s="134"/>
      <c r="V18" s="134"/>
      <c r="W18" s="134"/>
      <c r="X18" s="50"/>
      <c r="Y18" s="50"/>
      <c r="Z18" s="51"/>
    </row>
    <row r="19" spans="1:26" ht="14.1" customHeight="1" x14ac:dyDescent="0.3">
      <c r="A19" s="61"/>
      <c r="B19" s="56"/>
      <c r="C19" s="50"/>
      <c r="D19" s="140"/>
      <c r="E19" s="140"/>
      <c r="F19" s="140"/>
      <c r="G19" s="140"/>
      <c r="H19" s="140"/>
      <c r="I19" s="140"/>
      <c r="J19" s="144"/>
      <c r="K19" s="145"/>
      <c r="L19" s="145"/>
      <c r="M19" s="145"/>
      <c r="N19" s="145"/>
      <c r="O19" s="145"/>
      <c r="P19" s="145"/>
      <c r="Q19" s="145"/>
      <c r="R19" s="146"/>
      <c r="S19" s="134" t="s">
        <v>234</v>
      </c>
      <c r="T19" s="134"/>
      <c r="U19" s="134"/>
      <c r="V19" s="134"/>
      <c r="W19" s="134"/>
      <c r="X19" s="50"/>
      <c r="Y19" s="50"/>
      <c r="Z19" s="51"/>
    </row>
    <row r="20" spans="1:26" ht="14.1" customHeight="1" x14ac:dyDescent="0.3">
      <c r="A20" s="61"/>
      <c r="B20" s="56"/>
      <c r="C20" s="50"/>
      <c r="D20" s="140"/>
      <c r="E20" s="140"/>
      <c r="F20" s="140"/>
      <c r="G20" s="140"/>
      <c r="H20" s="140"/>
      <c r="I20" s="140"/>
      <c r="J20" s="147"/>
      <c r="K20" s="148"/>
      <c r="L20" s="148"/>
      <c r="M20" s="148"/>
      <c r="N20" s="148"/>
      <c r="O20" s="148"/>
      <c r="P20" s="148"/>
      <c r="Q20" s="148"/>
      <c r="R20" s="149"/>
      <c r="S20" s="134" t="s">
        <v>249</v>
      </c>
      <c r="T20" s="134"/>
      <c r="U20" s="134"/>
      <c r="V20" s="134"/>
      <c r="W20" s="134"/>
      <c r="X20" s="50"/>
      <c r="Y20" s="50"/>
      <c r="Z20" s="51"/>
    </row>
    <row r="21" spans="1:26" ht="14.1" customHeight="1" x14ac:dyDescent="0.3">
      <c r="A21" s="61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</row>
    <row r="22" spans="1:26" ht="14.1" customHeight="1" x14ac:dyDescent="0.3">
      <c r="A22" s="61"/>
      <c r="B22" s="55" t="s">
        <v>250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</row>
    <row r="23" spans="1:26" ht="14.1" customHeight="1" x14ac:dyDescent="0.3">
      <c r="A23" s="61"/>
      <c r="B23" s="62" t="s">
        <v>251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63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</row>
    <row r="24" spans="1:26" ht="14.1" customHeight="1" x14ac:dyDescent="0.3">
      <c r="A24" s="61"/>
      <c r="B24" s="50"/>
      <c r="C24" s="50"/>
      <c r="D24" s="135" t="s">
        <v>244</v>
      </c>
      <c r="E24" s="135"/>
      <c r="F24" s="135"/>
      <c r="G24" s="135"/>
      <c r="H24" s="135"/>
      <c r="I24" s="135"/>
      <c r="J24" s="135" t="s">
        <v>252</v>
      </c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50"/>
      <c r="Y24" s="50"/>
      <c r="Z24" s="51"/>
    </row>
    <row r="25" spans="1:26" ht="14.1" customHeight="1" x14ac:dyDescent="0.3">
      <c r="A25" s="61"/>
      <c r="B25" s="50"/>
      <c r="C25" s="50"/>
      <c r="D25" s="133" t="s">
        <v>101</v>
      </c>
      <c r="E25" s="133"/>
      <c r="F25" s="133"/>
      <c r="G25" s="133"/>
      <c r="H25" s="133"/>
      <c r="I25" s="133"/>
      <c r="J25" s="134" t="s">
        <v>253</v>
      </c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50"/>
      <c r="Y25" s="50"/>
      <c r="Z25" s="51"/>
    </row>
    <row r="26" spans="1:26" ht="14.1" customHeight="1" x14ac:dyDescent="0.3">
      <c r="A26" s="61"/>
      <c r="B26" s="50"/>
      <c r="C26" s="50"/>
      <c r="D26" s="133" t="s">
        <v>236</v>
      </c>
      <c r="E26" s="133"/>
      <c r="F26" s="133"/>
      <c r="G26" s="133"/>
      <c r="H26" s="133"/>
      <c r="I26" s="133"/>
      <c r="J26" s="134" t="s">
        <v>254</v>
      </c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50"/>
      <c r="Y26" s="50"/>
      <c r="Z26" s="51"/>
    </row>
    <row r="27" spans="1:26" ht="14.1" customHeight="1" x14ac:dyDescent="0.3">
      <c r="A27" s="61"/>
      <c r="B27" s="50"/>
      <c r="C27" s="50"/>
      <c r="D27" s="133" t="s">
        <v>237</v>
      </c>
      <c r="E27" s="133"/>
      <c r="F27" s="133"/>
      <c r="G27" s="133"/>
      <c r="H27" s="133"/>
      <c r="I27" s="133"/>
      <c r="J27" s="134" t="s">
        <v>255</v>
      </c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50"/>
      <c r="Y27" s="50"/>
      <c r="Z27" s="51"/>
    </row>
    <row r="28" spans="1:26" ht="14.1" customHeight="1" x14ac:dyDescent="0.3">
      <c r="A28" s="61"/>
      <c r="B28" s="50"/>
      <c r="C28" s="50"/>
      <c r="D28" s="133" t="s">
        <v>235</v>
      </c>
      <c r="E28" s="133"/>
      <c r="F28" s="133"/>
      <c r="G28" s="133"/>
      <c r="H28" s="133"/>
      <c r="I28" s="133"/>
      <c r="J28" s="134" t="s">
        <v>256</v>
      </c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50"/>
      <c r="Y28" s="50"/>
      <c r="Z28" s="51"/>
    </row>
    <row r="29" spans="1:26" ht="14.1" customHeight="1" x14ac:dyDescent="0.3">
      <c r="A29" s="61"/>
      <c r="B29" s="56"/>
      <c r="C29" s="56"/>
      <c r="D29" s="56"/>
      <c r="E29" s="50"/>
      <c r="F29" s="56"/>
      <c r="G29" s="56"/>
      <c r="H29" s="56"/>
      <c r="I29" s="56"/>
      <c r="J29" s="56"/>
      <c r="K29" s="56"/>
      <c r="L29" s="56"/>
      <c r="M29" s="56"/>
      <c r="N29" s="63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</row>
    <row r="30" spans="1:26" ht="14.1" customHeight="1" x14ac:dyDescent="0.3">
      <c r="A30" s="61"/>
      <c r="B30" s="62" t="s">
        <v>257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3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</row>
    <row r="31" spans="1:26" ht="14.1" customHeight="1" x14ac:dyDescent="0.3">
      <c r="A31" s="61"/>
      <c r="B31" s="50"/>
      <c r="C31" s="50"/>
      <c r="D31" s="135" t="s">
        <v>244</v>
      </c>
      <c r="E31" s="135"/>
      <c r="F31" s="135"/>
      <c r="G31" s="135"/>
      <c r="H31" s="135"/>
      <c r="I31" s="135"/>
      <c r="J31" s="135" t="s">
        <v>252</v>
      </c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50"/>
      <c r="Y31" s="50"/>
      <c r="Z31" s="51"/>
    </row>
    <row r="32" spans="1:26" ht="14.1" customHeight="1" x14ac:dyDescent="0.3">
      <c r="A32" s="61"/>
      <c r="B32" s="50"/>
      <c r="C32" s="50"/>
      <c r="D32" s="133" t="s">
        <v>258</v>
      </c>
      <c r="E32" s="133"/>
      <c r="F32" s="133"/>
      <c r="G32" s="133"/>
      <c r="H32" s="133"/>
      <c r="I32" s="133"/>
      <c r="J32" s="134" t="s">
        <v>259</v>
      </c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50"/>
      <c r="Y32" s="50"/>
      <c r="Z32" s="51"/>
    </row>
    <row r="33" spans="1:26" ht="14.1" customHeight="1" x14ac:dyDescent="0.3">
      <c r="A33" s="61"/>
      <c r="B33" s="50"/>
      <c r="C33" s="50"/>
      <c r="D33" s="133" t="s">
        <v>260</v>
      </c>
      <c r="E33" s="133"/>
      <c r="F33" s="133"/>
      <c r="G33" s="133"/>
      <c r="H33" s="133"/>
      <c r="I33" s="133"/>
      <c r="J33" s="134" t="s">
        <v>261</v>
      </c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50"/>
      <c r="Y33" s="50"/>
      <c r="Z33" s="51"/>
    </row>
    <row r="34" spans="1:26" ht="14.1" customHeight="1" x14ac:dyDescent="0.3">
      <c r="A34" s="61"/>
      <c r="B34" s="50"/>
      <c r="C34" s="50"/>
      <c r="D34" s="133" t="s">
        <v>262</v>
      </c>
      <c r="E34" s="133"/>
      <c r="F34" s="133"/>
      <c r="G34" s="133"/>
      <c r="H34" s="133"/>
      <c r="I34" s="133"/>
      <c r="J34" s="134" t="s">
        <v>263</v>
      </c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50"/>
      <c r="Y34" s="50"/>
      <c r="Z34" s="51"/>
    </row>
    <row r="35" spans="1:26" ht="14.1" customHeight="1" x14ac:dyDescent="0.3">
      <c r="A35" s="65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66"/>
    </row>
  </sheetData>
  <mergeCells count="30">
    <mergeCell ref="D24:I24"/>
    <mergeCell ref="J24:W24"/>
    <mergeCell ref="A2:B2"/>
    <mergeCell ref="B5:Y6"/>
    <mergeCell ref="B9:Y12"/>
    <mergeCell ref="B15:Y16"/>
    <mergeCell ref="D17:I17"/>
    <mergeCell ref="J17:R17"/>
    <mergeCell ref="S17:W17"/>
    <mergeCell ref="D18:I20"/>
    <mergeCell ref="J18:R20"/>
    <mergeCell ref="S18:W18"/>
    <mergeCell ref="S19:W19"/>
    <mergeCell ref="S20:W20"/>
    <mergeCell ref="D25:I25"/>
    <mergeCell ref="J25:W25"/>
    <mergeCell ref="D26:I26"/>
    <mergeCell ref="J26:W26"/>
    <mergeCell ref="D27:I27"/>
    <mergeCell ref="J27:W27"/>
    <mergeCell ref="D33:I33"/>
    <mergeCell ref="J33:W33"/>
    <mergeCell ref="D34:I34"/>
    <mergeCell ref="J34:W34"/>
    <mergeCell ref="D28:I28"/>
    <mergeCell ref="J28:W28"/>
    <mergeCell ref="D31:I31"/>
    <mergeCell ref="J31:W31"/>
    <mergeCell ref="D32:I32"/>
    <mergeCell ref="J32:W32"/>
  </mergeCells>
  <phoneticPr fontId="1" type="noConversion"/>
  <pageMargins left="0.7" right="0.7" top="0.75" bottom="0.75" header="0.3" footer="0.3"/>
  <pageSetup paperSize="9" scale="6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5CAB-5E48-4CEF-B302-E4483452B9ED}">
  <sheetPr>
    <tabColor theme="3" tint="0.89999084444715716"/>
  </sheetPr>
  <dimension ref="A1:I180"/>
  <sheetViews>
    <sheetView tabSelected="1" view="pageBreakPreview" zoomScaleNormal="100" zoomScaleSheetLayoutView="100" workbookViewId="0">
      <selection activeCell="A7" sqref="A7:N9"/>
    </sheetView>
  </sheetViews>
  <sheetFormatPr defaultRowHeight="16.5" x14ac:dyDescent="0.3"/>
  <cols>
    <col min="1" max="1" width="4.625" customWidth="1"/>
    <col min="2" max="2" width="5.625" style="71" customWidth="1"/>
    <col min="3" max="3" width="23" bestFit="1" customWidth="1"/>
    <col min="4" max="8" width="17.625" customWidth="1"/>
    <col min="9" max="9" width="4.625" customWidth="1"/>
  </cols>
  <sheetData>
    <row r="1" spans="1:9" ht="14.1" customHeight="1" x14ac:dyDescent="0.3">
      <c r="A1" s="67"/>
      <c r="B1" s="69"/>
      <c r="C1" s="67"/>
      <c r="D1" s="67"/>
      <c r="E1" s="67"/>
      <c r="F1" s="67"/>
      <c r="G1" s="67"/>
      <c r="H1" s="67"/>
      <c r="I1" s="67"/>
    </row>
    <row r="2" spans="1:9" ht="14.1" customHeight="1" x14ac:dyDescent="0.3">
      <c r="A2" s="3" t="s">
        <v>0</v>
      </c>
      <c r="B2" s="70"/>
      <c r="C2" s="1"/>
      <c r="D2" s="1"/>
      <c r="E2" s="1"/>
      <c r="F2" s="1"/>
      <c r="G2" s="1"/>
      <c r="H2" s="1"/>
      <c r="I2" s="1"/>
    </row>
    <row r="3" spans="1:9" ht="14.1" customHeight="1" x14ac:dyDescent="0.3">
      <c r="A3" s="1"/>
      <c r="B3" s="70"/>
      <c r="C3" s="1"/>
      <c r="D3" s="68"/>
      <c r="E3" s="1"/>
      <c r="F3" s="1"/>
      <c r="G3" s="1"/>
      <c r="H3" s="1"/>
      <c r="I3" s="1"/>
    </row>
    <row r="4" spans="1:9" ht="14.1" customHeight="1" x14ac:dyDescent="0.3">
      <c r="A4" s="1"/>
      <c r="B4" s="72" t="s">
        <v>264</v>
      </c>
      <c r="C4" s="72" t="s">
        <v>1</v>
      </c>
      <c r="D4" s="72" t="s">
        <v>265</v>
      </c>
      <c r="E4" s="72" t="s">
        <v>2</v>
      </c>
      <c r="F4" s="72" t="s">
        <v>4</v>
      </c>
      <c r="G4" s="72" t="s">
        <v>266</v>
      </c>
      <c r="H4" s="72" t="s">
        <v>5</v>
      </c>
      <c r="I4" s="1"/>
    </row>
    <row r="5" spans="1:9" ht="14.1" customHeight="1" x14ac:dyDescent="0.3">
      <c r="A5" s="1"/>
      <c r="C5" s="71"/>
      <c r="D5" s="71"/>
      <c r="E5" s="71"/>
      <c r="F5" s="71"/>
      <c r="G5" s="71"/>
      <c r="H5" s="71"/>
      <c r="I5" s="1"/>
    </row>
    <row r="6" spans="1:9" ht="14.1" customHeight="1" x14ac:dyDescent="0.3">
      <c r="A6" s="1"/>
      <c r="C6" s="71"/>
      <c r="D6" s="71"/>
      <c r="E6" s="71"/>
      <c r="F6" s="71"/>
      <c r="G6" s="71"/>
      <c r="H6" s="71"/>
      <c r="I6" s="1"/>
    </row>
    <row r="7" spans="1:9" ht="14.1" customHeight="1" x14ac:dyDescent="0.3">
      <c r="A7" s="1"/>
      <c r="C7" s="71"/>
      <c r="D7" s="71"/>
      <c r="E7" s="71"/>
      <c r="F7" s="71"/>
      <c r="G7" s="71"/>
      <c r="H7" s="71"/>
      <c r="I7" s="1"/>
    </row>
    <row r="8" spans="1:9" ht="14.1" customHeight="1" x14ac:dyDescent="0.3">
      <c r="A8" s="1"/>
      <c r="C8" s="71"/>
      <c r="D8" s="71"/>
      <c r="E8" s="71"/>
      <c r="F8" s="71"/>
      <c r="G8" s="71"/>
      <c r="H8" s="71"/>
      <c r="I8" s="1"/>
    </row>
    <row r="9" spans="1:9" ht="14.1" customHeight="1" x14ac:dyDescent="0.3">
      <c r="A9" s="1"/>
      <c r="C9" s="71"/>
      <c r="D9" s="71"/>
      <c r="E9" s="71"/>
      <c r="F9" s="71"/>
      <c r="G9" s="71"/>
      <c r="H9" s="71"/>
      <c r="I9" s="1"/>
    </row>
    <row r="10" spans="1:9" ht="14.1" customHeight="1" x14ac:dyDescent="0.3">
      <c r="A10" s="1"/>
      <c r="C10" s="71"/>
      <c r="D10" s="71"/>
      <c r="E10" s="71"/>
      <c r="F10" s="71"/>
      <c r="G10" s="71"/>
      <c r="H10" s="71"/>
      <c r="I10" s="1"/>
    </row>
    <row r="11" spans="1:9" ht="14.1" customHeight="1" x14ac:dyDescent="0.3">
      <c r="A11" s="1"/>
      <c r="C11" s="71"/>
      <c r="D11" s="71"/>
      <c r="E11" s="71"/>
      <c r="F11" s="71"/>
      <c r="G11" s="71"/>
      <c r="H11" s="71"/>
      <c r="I11" s="1"/>
    </row>
    <row r="12" spans="1:9" ht="14.1" customHeight="1" x14ac:dyDescent="0.3">
      <c r="A12" s="1"/>
      <c r="C12" s="71"/>
      <c r="D12" s="71"/>
      <c r="E12" s="71"/>
      <c r="F12" s="71"/>
      <c r="G12" s="71"/>
      <c r="H12" s="71"/>
      <c r="I12" s="1"/>
    </row>
    <row r="13" spans="1:9" ht="14.1" customHeight="1" x14ac:dyDescent="0.3">
      <c r="A13" s="1"/>
      <c r="C13" s="71"/>
      <c r="D13" s="71"/>
      <c r="E13" s="71"/>
      <c r="F13" s="71"/>
      <c r="G13" s="71"/>
      <c r="H13" s="71"/>
      <c r="I13" s="1"/>
    </row>
    <row r="14" spans="1:9" ht="14.1" customHeight="1" x14ac:dyDescent="0.3">
      <c r="A14" s="1"/>
      <c r="C14" s="71"/>
      <c r="D14" s="71"/>
      <c r="E14" s="71"/>
      <c r="F14" s="71"/>
      <c r="G14" s="71"/>
      <c r="H14" s="71"/>
      <c r="I14" s="1"/>
    </row>
    <row r="15" spans="1:9" ht="14.1" customHeight="1" x14ac:dyDescent="0.3">
      <c r="A15" s="1"/>
      <c r="C15" s="71"/>
      <c r="D15" s="71"/>
      <c r="E15" s="71"/>
      <c r="F15" s="71"/>
      <c r="G15" s="71"/>
      <c r="H15" s="71"/>
      <c r="I15" s="1"/>
    </row>
    <row r="16" spans="1:9" ht="14.1" customHeight="1" x14ac:dyDescent="0.3">
      <c r="A16" s="1"/>
      <c r="C16" s="71"/>
      <c r="D16" s="71"/>
      <c r="E16" s="71"/>
      <c r="F16" s="71"/>
      <c r="G16" s="71"/>
      <c r="H16" s="71"/>
      <c r="I16" s="1"/>
    </row>
    <row r="17" spans="1:9" ht="14.1" customHeight="1" x14ac:dyDescent="0.3">
      <c r="A17" s="1"/>
      <c r="C17" s="71"/>
      <c r="D17" s="71"/>
      <c r="E17" s="71"/>
      <c r="F17" s="71"/>
      <c r="G17" s="71"/>
      <c r="H17" s="71"/>
      <c r="I17" s="1"/>
    </row>
    <row r="18" spans="1:9" ht="14.1" customHeight="1" x14ac:dyDescent="0.3">
      <c r="A18" s="1"/>
      <c r="C18" s="71"/>
      <c r="D18" s="71"/>
      <c r="E18" s="71"/>
      <c r="F18" s="71"/>
      <c r="G18" s="71"/>
      <c r="H18" s="71"/>
      <c r="I18" s="1"/>
    </row>
    <row r="19" spans="1:9" ht="14.1" customHeight="1" x14ac:dyDescent="0.3">
      <c r="A19" s="1"/>
      <c r="C19" s="71"/>
      <c r="D19" s="71"/>
      <c r="E19" s="71"/>
      <c r="F19" s="71"/>
      <c r="G19" s="71"/>
      <c r="H19" s="71"/>
      <c r="I19" s="1"/>
    </row>
    <row r="20" spans="1:9" ht="14.1" customHeight="1" x14ac:dyDescent="0.3">
      <c r="A20" s="1"/>
      <c r="C20" s="71"/>
      <c r="D20" s="71"/>
      <c r="E20" s="71"/>
      <c r="F20" s="71"/>
      <c r="G20" s="71"/>
      <c r="H20" s="71"/>
      <c r="I20" s="1"/>
    </row>
    <row r="21" spans="1:9" ht="14.1" customHeight="1" x14ac:dyDescent="0.3">
      <c r="A21" s="1"/>
      <c r="C21" s="71"/>
      <c r="D21" s="71"/>
      <c r="E21" s="71"/>
      <c r="F21" s="71"/>
      <c r="G21" s="71"/>
      <c r="H21" s="71"/>
      <c r="I21" s="1"/>
    </row>
    <row r="22" spans="1:9" ht="14.1" customHeight="1" x14ac:dyDescent="0.3">
      <c r="A22" s="1"/>
      <c r="C22" s="71"/>
      <c r="D22" s="71"/>
      <c r="E22" s="71"/>
      <c r="F22" s="71"/>
      <c r="G22" s="71"/>
      <c r="H22" s="71"/>
      <c r="I22" s="1"/>
    </row>
    <row r="23" spans="1:9" ht="14.1" customHeight="1" x14ac:dyDescent="0.3">
      <c r="A23" s="1"/>
      <c r="C23" s="71"/>
      <c r="D23" s="71"/>
      <c r="E23" s="71"/>
      <c r="F23" s="71"/>
      <c r="G23" s="71"/>
      <c r="H23" s="71"/>
      <c r="I23" s="1"/>
    </row>
    <row r="24" spans="1:9" ht="14.1" customHeight="1" x14ac:dyDescent="0.3">
      <c r="A24" s="1"/>
      <c r="C24" s="71"/>
      <c r="D24" s="71"/>
      <c r="E24" s="71"/>
      <c r="F24" s="71"/>
      <c r="G24" s="71"/>
      <c r="H24" s="71"/>
      <c r="I24" s="1"/>
    </row>
    <row r="25" spans="1:9" ht="14.1" customHeight="1" x14ac:dyDescent="0.3">
      <c r="A25" s="1"/>
      <c r="C25" s="71"/>
      <c r="D25" s="71"/>
      <c r="E25" s="71"/>
      <c r="F25" s="71"/>
      <c r="G25" s="71"/>
      <c r="H25" s="71"/>
      <c r="I25" s="1"/>
    </row>
    <row r="26" spans="1:9" ht="14.1" customHeight="1" x14ac:dyDescent="0.3">
      <c r="A26" s="1"/>
      <c r="C26" s="71"/>
      <c r="D26" s="71"/>
      <c r="E26" s="71"/>
      <c r="F26" s="71"/>
      <c r="G26" s="71"/>
      <c r="H26" s="71"/>
      <c r="I26" s="1"/>
    </row>
    <row r="27" spans="1:9" ht="14.1" customHeight="1" x14ac:dyDescent="0.3">
      <c r="A27" s="1"/>
      <c r="C27" s="71"/>
      <c r="D27" s="71"/>
      <c r="E27" s="71"/>
      <c r="F27" s="71"/>
      <c r="G27" s="71"/>
      <c r="H27" s="71"/>
      <c r="I27" s="1"/>
    </row>
    <row r="28" spans="1:9" ht="14.1" customHeight="1" x14ac:dyDescent="0.3">
      <c r="C28" s="71"/>
      <c r="D28" s="71"/>
      <c r="E28" s="71"/>
      <c r="F28" s="71"/>
      <c r="G28" s="71"/>
      <c r="H28" s="71"/>
    </row>
    <row r="29" spans="1:9" ht="14.1" customHeight="1" x14ac:dyDescent="0.3">
      <c r="C29" s="71"/>
      <c r="D29" s="71"/>
      <c r="E29" s="71"/>
      <c r="F29" s="71"/>
      <c r="G29" s="71"/>
      <c r="H29" s="71"/>
    </row>
    <row r="30" spans="1:9" ht="14.1" customHeight="1" x14ac:dyDescent="0.3">
      <c r="C30" s="71"/>
      <c r="D30" s="71"/>
      <c r="E30" s="71"/>
      <c r="F30" s="71"/>
      <c r="G30" s="71"/>
      <c r="H30" s="71"/>
    </row>
    <row r="31" spans="1:9" ht="14.1" customHeight="1" x14ac:dyDescent="0.3">
      <c r="C31" s="71"/>
      <c r="D31" s="71"/>
      <c r="E31" s="71"/>
      <c r="F31" s="71"/>
      <c r="G31" s="71"/>
      <c r="H31" s="71"/>
    </row>
    <row r="32" spans="1:9" ht="14.1" customHeight="1" x14ac:dyDescent="0.3">
      <c r="C32" s="71"/>
      <c r="D32" s="71"/>
      <c r="E32" s="71"/>
      <c r="F32" s="71"/>
      <c r="G32" s="71"/>
      <c r="H32" s="71"/>
    </row>
    <row r="33" spans="3:8" ht="14.1" customHeight="1" x14ac:dyDescent="0.3">
      <c r="C33" s="71"/>
      <c r="D33" s="71"/>
      <c r="E33" s="71"/>
      <c r="F33" s="71"/>
      <c r="G33" s="71"/>
      <c r="H33" s="71"/>
    </row>
    <row r="34" spans="3:8" ht="14.1" customHeight="1" x14ac:dyDescent="0.3">
      <c r="C34" s="71"/>
      <c r="D34" s="71"/>
      <c r="E34" s="71"/>
      <c r="F34" s="71"/>
      <c r="G34" s="71"/>
      <c r="H34" s="71"/>
    </row>
    <row r="35" spans="3:8" ht="14.1" customHeight="1" x14ac:dyDescent="0.3">
      <c r="C35" s="71"/>
      <c r="D35" s="71"/>
      <c r="E35" s="71"/>
      <c r="F35" s="71"/>
      <c r="G35" s="71"/>
      <c r="H35" s="71"/>
    </row>
    <row r="36" spans="3:8" ht="14.1" customHeight="1" x14ac:dyDescent="0.3">
      <c r="C36" s="71"/>
      <c r="D36" s="71"/>
      <c r="E36" s="71"/>
      <c r="F36" s="71"/>
      <c r="G36" s="71"/>
      <c r="H36" s="71"/>
    </row>
    <row r="37" spans="3:8" ht="14.1" customHeight="1" x14ac:dyDescent="0.3">
      <c r="C37" s="71"/>
      <c r="D37" s="71"/>
      <c r="E37" s="71"/>
      <c r="F37" s="71"/>
      <c r="G37" s="71"/>
      <c r="H37" s="71"/>
    </row>
    <row r="38" spans="3:8" ht="14.1" customHeight="1" x14ac:dyDescent="0.3">
      <c r="C38" s="71"/>
      <c r="D38" s="71"/>
      <c r="E38" s="71"/>
      <c r="F38" s="71"/>
      <c r="G38" s="71"/>
      <c r="H38" s="71"/>
    </row>
    <row r="39" spans="3:8" ht="14.1" customHeight="1" x14ac:dyDescent="0.3">
      <c r="C39" s="71"/>
      <c r="D39" s="71"/>
      <c r="E39" s="71"/>
      <c r="F39" s="71"/>
      <c r="G39" s="71"/>
      <c r="H39" s="71"/>
    </row>
    <row r="40" spans="3:8" ht="14.1" customHeight="1" x14ac:dyDescent="0.3">
      <c r="C40" s="71"/>
      <c r="D40" s="71"/>
      <c r="E40" s="71"/>
      <c r="F40" s="71"/>
      <c r="G40" s="71"/>
      <c r="H40" s="71"/>
    </row>
    <row r="41" spans="3:8" ht="14.1" customHeight="1" x14ac:dyDescent="0.3">
      <c r="C41" s="71"/>
      <c r="D41" s="71"/>
      <c r="E41" s="71"/>
      <c r="F41" s="71"/>
      <c r="G41" s="71"/>
      <c r="H41" s="71"/>
    </row>
    <row r="42" spans="3:8" ht="14.1" customHeight="1" x14ac:dyDescent="0.3">
      <c r="C42" s="71"/>
      <c r="D42" s="71"/>
      <c r="E42" s="71"/>
      <c r="F42" s="71"/>
      <c r="G42" s="71"/>
      <c r="H42" s="71"/>
    </row>
    <row r="43" spans="3:8" ht="14.1" customHeight="1" x14ac:dyDescent="0.3">
      <c r="C43" s="71"/>
      <c r="D43" s="71"/>
      <c r="E43" s="71"/>
      <c r="F43" s="71"/>
      <c r="G43" s="71"/>
      <c r="H43" s="71"/>
    </row>
    <row r="44" spans="3:8" ht="14.1" customHeight="1" x14ac:dyDescent="0.3">
      <c r="C44" s="71"/>
      <c r="D44" s="71"/>
      <c r="E44" s="71"/>
      <c r="F44" s="71"/>
      <c r="G44" s="71"/>
      <c r="H44" s="71"/>
    </row>
    <row r="45" spans="3:8" ht="14.1" customHeight="1" x14ac:dyDescent="0.3">
      <c r="C45" s="71"/>
      <c r="D45" s="71"/>
      <c r="E45" s="71"/>
      <c r="F45" s="71"/>
      <c r="G45" s="71"/>
      <c r="H45" s="71"/>
    </row>
    <row r="46" spans="3:8" ht="14.1" customHeight="1" x14ac:dyDescent="0.3">
      <c r="C46" s="71"/>
      <c r="D46" s="71"/>
      <c r="E46" s="71"/>
      <c r="F46" s="71"/>
      <c r="G46" s="71"/>
      <c r="H46" s="71"/>
    </row>
    <row r="47" spans="3:8" ht="14.1" customHeight="1" x14ac:dyDescent="0.3">
      <c r="C47" s="71"/>
      <c r="D47" s="71"/>
      <c r="E47" s="71"/>
      <c r="F47" s="71"/>
      <c r="G47" s="71"/>
      <c r="H47" s="71"/>
    </row>
    <row r="48" spans="3:8" ht="14.1" customHeight="1" x14ac:dyDescent="0.3">
      <c r="C48" s="71"/>
      <c r="D48" s="71"/>
      <c r="E48" s="71"/>
      <c r="F48" s="71"/>
      <c r="G48" s="71"/>
      <c r="H48" s="71"/>
    </row>
    <row r="49" spans="3:8" ht="14.1" customHeight="1" x14ac:dyDescent="0.3">
      <c r="C49" s="71"/>
      <c r="D49" s="71"/>
      <c r="E49" s="71"/>
      <c r="F49" s="71"/>
      <c r="G49" s="71"/>
      <c r="H49" s="71"/>
    </row>
    <row r="50" spans="3:8" ht="14.1" customHeight="1" x14ac:dyDescent="0.3">
      <c r="C50" s="71"/>
      <c r="D50" s="71"/>
      <c r="E50" s="71"/>
      <c r="F50" s="71"/>
      <c r="G50" s="71"/>
      <c r="H50" s="71"/>
    </row>
    <row r="51" spans="3:8" ht="14.1" customHeight="1" x14ac:dyDescent="0.3">
      <c r="C51" s="71"/>
      <c r="D51" s="71"/>
      <c r="E51" s="71"/>
      <c r="F51" s="71"/>
      <c r="G51" s="71"/>
      <c r="H51" s="71"/>
    </row>
    <row r="52" spans="3:8" ht="14.1" customHeight="1" x14ac:dyDescent="0.3">
      <c r="C52" s="71"/>
      <c r="D52" s="71"/>
      <c r="E52" s="71"/>
      <c r="F52" s="71"/>
      <c r="G52" s="71"/>
      <c r="H52" s="71"/>
    </row>
    <row r="53" spans="3:8" ht="14.1" customHeight="1" x14ac:dyDescent="0.3">
      <c r="C53" s="71"/>
      <c r="D53" s="71"/>
      <c r="E53" s="71"/>
      <c r="F53" s="71"/>
      <c r="G53" s="71"/>
      <c r="H53" s="71"/>
    </row>
    <row r="54" spans="3:8" ht="14.1" customHeight="1" x14ac:dyDescent="0.3">
      <c r="C54" s="71"/>
      <c r="D54" s="71"/>
      <c r="E54" s="71"/>
      <c r="F54" s="71"/>
      <c r="G54" s="71"/>
      <c r="H54" s="71"/>
    </row>
    <row r="55" spans="3:8" ht="14.1" customHeight="1" x14ac:dyDescent="0.3">
      <c r="C55" s="71"/>
      <c r="D55" s="71"/>
      <c r="E55" s="71"/>
      <c r="F55" s="71"/>
      <c r="G55" s="71"/>
      <c r="H55" s="71"/>
    </row>
    <row r="56" spans="3:8" ht="14.1" customHeight="1" x14ac:dyDescent="0.3">
      <c r="C56" s="71"/>
      <c r="D56" s="71"/>
      <c r="E56" s="71"/>
      <c r="F56" s="71"/>
      <c r="G56" s="71"/>
      <c r="H56" s="71"/>
    </row>
    <row r="57" spans="3:8" ht="14.1" customHeight="1" x14ac:dyDescent="0.3">
      <c r="C57" s="71"/>
      <c r="D57" s="71"/>
      <c r="E57" s="71"/>
      <c r="F57" s="71"/>
      <c r="G57" s="71"/>
      <c r="H57" s="71"/>
    </row>
    <row r="58" spans="3:8" ht="14.1" customHeight="1" x14ac:dyDescent="0.3">
      <c r="C58" s="71"/>
      <c r="D58" s="71"/>
      <c r="E58" s="71"/>
      <c r="F58" s="71"/>
      <c r="G58" s="71"/>
      <c r="H58" s="71"/>
    </row>
    <row r="59" spans="3:8" ht="14.1" customHeight="1" x14ac:dyDescent="0.3">
      <c r="C59" s="71"/>
      <c r="D59" s="71"/>
      <c r="E59" s="71"/>
      <c r="F59" s="71"/>
      <c r="G59" s="71"/>
      <c r="H59" s="71"/>
    </row>
    <row r="60" spans="3:8" ht="14.1" customHeight="1" x14ac:dyDescent="0.3">
      <c r="C60" s="71"/>
      <c r="D60" s="71"/>
      <c r="E60" s="71"/>
      <c r="F60" s="71"/>
      <c r="G60" s="71"/>
      <c r="H60" s="71"/>
    </row>
    <row r="61" spans="3:8" ht="14.1" customHeight="1" x14ac:dyDescent="0.3">
      <c r="C61" s="71"/>
      <c r="D61" s="71"/>
      <c r="E61" s="71"/>
      <c r="F61" s="71"/>
      <c r="G61" s="71"/>
      <c r="H61" s="71"/>
    </row>
    <row r="62" spans="3:8" ht="14.1" customHeight="1" x14ac:dyDescent="0.3">
      <c r="C62" s="71"/>
      <c r="D62" s="71"/>
      <c r="E62" s="71"/>
      <c r="F62" s="71"/>
      <c r="G62" s="71"/>
      <c r="H62" s="71"/>
    </row>
    <row r="63" spans="3:8" ht="14.1" customHeight="1" x14ac:dyDescent="0.3">
      <c r="C63" s="71"/>
      <c r="D63" s="71"/>
      <c r="E63" s="71"/>
      <c r="F63" s="71"/>
      <c r="G63" s="71"/>
      <c r="H63" s="71"/>
    </row>
    <row r="64" spans="3:8" ht="14.1" customHeight="1" x14ac:dyDescent="0.3">
      <c r="C64" s="71"/>
      <c r="D64" s="71"/>
      <c r="E64" s="71"/>
      <c r="F64" s="71"/>
      <c r="G64" s="71"/>
      <c r="H64" s="71"/>
    </row>
    <row r="65" spans="3:8" ht="14.1" customHeight="1" x14ac:dyDescent="0.3">
      <c r="C65" s="71"/>
      <c r="D65" s="71"/>
      <c r="E65" s="71"/>
      <c r="F65" s="71"/>
      <c r="G65" s="71"/>
      <c r="H65" s="71"/>
    </row>
    <row r="66" spans="3:8" ht="14.1" customHeight="1" x14ac:dyDescent="0.3">
      <c r="C66" s="71"/>
      <c r="D66" s="71"/>
      <c r="E66" s="71"/>
      <c r="F66" s="71"/>
      <c r="G66" s="71"/>
      <c r="H66" s="71"/>
    </row>
    <row r="67" spans="3:8" ht="14.1" customHeight="1" x14ac:dyDescent="0.3">
      <c r="C67" s="71"/>
      <c r="D67" s="71"/>
      <c r="E67" s="71"/>
      <c r="F67" s="71"/>
      <c r="G67" s="71"/>
      <c r="H67" s="71"/>
    </row>
    <row r="68" spans="3:8" ht="14.1" customHeight="1" x14ac:dyDescent="0.3">
      <c r="C68" s="71"/>
      <c r="D68" s="71"/>
      <c r="E68" s="71"/>
      <c r="F68" s="71"/>
      <c r="G68" s="71"/>
      <c r="H68" s="71"/>
    </row>
    <row r="69" spans="3:8" ht="14.1" customHeight="1" x14ac:dyDescent="0.3">
      <c r="C69" s="71"/>
      <c r="D69" s="71"/>
      <c r="E69" s="71"/>
      <c r="F69" s="71"/>
      <c r="G69" s="71"/>
      <c r="H69" s="71"/>
    </row>
    <row r="70" spans="3:8" ht="14.1" customHeight="1" x14ac:dyDescent="0.3">
      <c r="C70" s="71"/>
      <c r="D70" s="71"/>
      <c r="E70" s="71"/>
      <c r="F70" s="71"/>
      <c r="G70" s="71"/>
      <c r="H70" s="71"/>
    </row>
    <row r="71" spans="3:8" ht="14.1" customHeight="1" x14ac:dyDescent="0.3">
      <c r="C71" s="71"/>
      <c r="D71" s="71"/>
      <c r="E71" s="71"/>
      <c r="F71" s="71"/>
      <c r="G71" s="71"/>
      <c r="H71" s="71"/>
    </row>
    <row r="72" spans="3:8" ht="14.1" customHeight="1" x14ac:dyDescent="0.3">
      <c r="C72" s="71"/>
      <c r="D72" s="71"/>
      <c r="E72" s="71"/>
      <c r="F72" s="71"/>
      <c r="G72" s="71"/>
      <c r="H72" s="71"/>
    </row>
    <row r="73" spans="3:8" ht="14.1" customHeight="1" x14ac:dyDescent="0.3">
      <c r="C73" s="71"/>
      <c r="D73" s="71"/>
      <c r="E73" s="71"/>
      <c r="F73" s="71"/>
      <c r="G73" s="71"/>
      <c r="H73" s="71"/>
    </row>
    <row r="74" spans="3:8" ht="14.1" customHeight="1" x14ac:dyDescent="0.3">
      <c r="C74" s="71"/>
      <c r="D74" s="71"/>
      <c r="E74" s="71"/>
      <c r="F74" s="71"/>
      <c r="G74" s="71"/>
      <c r="H74" s="71"/>
    </row>
    <row r="75" spans="3:8" ht="14.1" customHeight="1" x14ac:dyDescent="0.3">
      <c r="C75" s="71"/>
      <c r="D75" s="71"/>
      <c r="E75" s="71"/>
      <c r="F75" s="71"/>
      <c r="G75" s="71"/>
      <c r="H75" s="71"/>
    </row>
    <row r="76" spans="3:8" ht="14.1" customHeight="1" x14ac:dyDescent="0.3">
      <c r="C76" s="71"/>
      <c r="D76" s="71"/>
      <c r="E76" s="71"/>
      <c r="F76" s="71"/>
      <c r="G76" s="71"/>
      <c r="H76" s="71"/>
    </row>
    <row r="77" spans="3:8" ht="14.1" customHeight="1" x14ac:dyDescent="0.3">
      <c r="C77" s="71"/>
      <c r="D77" s="71"/>
      <c r="E77" s="71"/>
      <c r="F77" s="71"/>
      <c r="G77" s="71"/>
      <c r="H77" s="71"/>
    </row>
    <row r="78" spans="3:8" ht="14.1" customHeight="1" x14ac:dyDescent="0.3">
      <c r="C78" s="71"/>
      <c r="D78" s="71"/>
      <c r="E78" s="71"/>
      <c r="F78" s="71"/>
      <c r="G78" s="71"/>
      <c r="H78" s="71"/>
    </row>
    <row r="79" spans="3:8" ht="14.1" customHeight="1" x14ac:dyDescent="0.3">
      <c r="C79" s="71"/>
      <c r="D79" s="71"/>
      <c r="E79" s="71"/>
      <c r="F79" s="71"/>
      <c r="G79" s="71"/>
      <c r="H79" s="71"/>
    </row>
    <row r="80" spans="3:8" ht="14.1" customHeight="1" x14ac:dyDescent="0.3">
      <c r="C80" s="71"/>
      <c r="D80" s="71"/>
      <c r="E80" s="71"/>
      <c r="F80" s="71"/>
      <c r="G80" s="71"/>
      <c r="H80" s="71"/>
    </row>
    <row r="81" spans="3:8" ht="14.1" customHeight="1" x14ac:dyDescent="0.3">
      <c r="C81" s="71"/>
      <c r="D81" s="71"/>
      <c r="E81" s="71"/>
      <c r="F81" s="71"/>
      <c r="G81" s="71"/>
      <c r="H81" s="71"/>
    </row>
    <row r="82" spans="3:8" ht="14.1" customHeight="1" x14ac:dyDescent="0.3">
      <c r="C82" s="71"/>
      <c r="D82" s="71"/>
      <c r="E82" s="71"/>
      <c r="F82" s="71"/>
      <c r="G82" s="71"/>
      <c r="H82" s="71"/>
    </row>
    <row r="83" spans="3:8" ht="14.1" customHeight="1" x14ac:dyDescent="0.3">
      <c r="C83" s="71"/>
      <c r="D83" s="71"/>
      <c r="E83" s="71"/>
      <c r="F83" s="71"/>
      <c r="G83" s="71"/>
      <c r="H83" s="71"/>
    </row>
    <row r="84" spans="3:8" ht="14.1" customHeight="1" x14ac:dyDescent="0.3">
      <c r="C84" s="71"/>
      <c r="D84" s="71"/>
      <c r="E84" s="71"/>
      <c r="F84" s="71"/>
      <c r="G84" s="71"/>
      <c r="H84" s="71"/>
    </row>
    <row r="85" spans="3:8" ht="14.1" customHeight="1" x14ac:dyDescent="0.3">
      <c r="C85" s="71"/>
      <c r="D85" s="71"/>
      <c r="E85" s="71"/>
      <c r="F85" s="71"/>
      <c r="G85" s="71"/>
      <c r="H85" s="71"/>
    </row>
    <row r="86" spans="3:8" ht="14.1" customHeight="1" x14ac:dyDescent="0.3">
      <c r="C86" s="71"/>
      <c r="D86" s="71"/>
      <c r="E86" s="71"/>
      <c r="F86" s="71"/>
      <c r="G86" s="71"/>
      <c r="H86" s="71"/>
    </row>
    <row r="87" spans="3:8" ht="14.1" customHeight="1" x14ac:dyDescent="0.3">
      <c r="C87" s="71"/>
      <c r="D87" s="71"/>
      <c r="E87" s="71"/>
      <c r="F87" s="71"/>
      <c r="G87" s="71"/>
      <c r="H87" s="71"/>
    </row>
    <row r="88" spans="3:8" ht="14.1" customHeight="1" x14ac:dyDescent="0.3">
      <c r="C88" s="71"/>
      <c r="D88" s="71"/>
      <c r="E88" s="71"/>
      <c r="F88" s="71"/>
      <c r="G88" s="71"/>
      <c r="H88" s="71"/>
    </row>
    <row r="89" spans="3:8" ht="14.1" customHeight="1" x14ac:dyDescent="0.3">
      <c r="C89" s="71"/>
      <c r="D89" s="71"/>
      <c r="E89" s="71"/>
      <c r="F89" s="71"/>
      <c r="G89" s="71"/>
      <c r="H89" s="71"/>
    </row>
    <row r="90" spans="3:8" ht="14.1" customHeight="1" x14ac:dyDescent="0.3">
      <c r="C90" s="71"/>
      <c r="D90" s="71"/>
      <c r="E90" s="71"/>
      <c r="F90" s="71"/>
      <c r="G90" s="71"/>
      <c r="H90" s="71"/>
    </row>
    <row r="91" spans="3:8" ht="14.1" customHeight="1" x14ac:dyDescent="0.3">
      <c r="C91" s="71"/>
      <c r="D91" s="71"/>
      <c r="E91" s="71"/>
      <c r="F91" s="71"/>
      <c r="G91" s="71"/>
      <c r="H91" s="71"/>
    </row>
    <row r="92" spans="3:8" ht="14.1" customHeight="1" x14ac:dyDescent="0.3">
      <c r="C92" s="71"/>
      <c r="D92" s="71"/>
      <c r="E92" s="71"/>
      <c r="F92" s="71"/>
      <c r="G92" s="71"/>
      <c r="H92" s="71"/>
    </row>
    <row r="93" spans="3:8" ht="14.1" customHeight="1" x14ac:dyDescent="0.3">
      <c r="C93" s="71"/>
      <c r="D93" s="71"/>
      <c r="E93" s="71"/>
      <c r="F93" s="71"/>
      <c r="G93" s="71"/>
      <c r="H93" s="71"/>
    </row>
    <row r="94" spans="3:8" ht="14.1" customHeight="1" x14ac:dyDescent="0.3">
      <c r="C94" s="71"/>
      <c r="D94" s="71"/>
      <c r="E94" s="71"/>
      <c r="F94" s="71"/>
      <c r="G94" s="71"/>
      <c r="H94" s="71"/>
    </row>
    <row r="95" spans="3:8" ht="14.1" customHeight="1" x14ac:dyDescent="0.3">
      <c r="C95" s="71"/>
      <c r="D95" s="71"/>
      <c r="E95" s="71"/>
      <c r="F95" s="71"/>
      <c r="G95" s="71"/>
      <c r="H95" s="71"/>
    </row>
    <row r="96" spans="3:8" ht="14.1" customHeight="1" x14ac:dyDescent="0.3">
      <c r="C96" s="71"/>
      <c r="D96" s="71"/>
      <c r="E96" s="71"/>
      <c r="F96" s="71"/>
      <c r="G96" s="71"/>
      <c r="H96" s="71"/>
    </row>
    <row r="97" spans="3:8" ht="14.1" customHeight="1" x14ac:dyDescent="0.3">
      <c r="C97" s="71"/>
      <c r="D97" s="71"/>
      <c r="E97" s="71"/>
      <c r="F97" s="71"/>
      <c r="G97" s="71"/>
      <c r="H97" s="71"/>
    </row>
    <row r="98" spans="3:8" ht="14.1" customHeight="1" x14ac:dyDescent="0.3">
      <c r="C98" s="71"/>
      <c r="D98" s="71"/>
      <c r="E98" s="71"/>
      <c r="F98" s="71"/>
      <c r="G98" s="71"/>
      <c r="H98" s="71"/>
    </row>
    <row r="99" spans="3:8" ht="14.1" customHeight="1" x14ac:dyDescent="0.3">
      <c r="C99" s="71"/>
      <c r="D99" s="71"/>
      <c r="E99" s="71"/>
      <c r="F99" s="71"/>
      <c r="G99" s="71"/>
      <c r="H99" s="71"/>
    </row>
    <row r="100" spans="3:8" ht="14.1" customHeight="1" x14ac:dyDescent="0.3">
      <c r="C100" s="71"/>
      <c r="D100" s="71"/>
      <c r="E100" s="71"/>
      <c r="F100" s="71"/>
      <c r="G100" s="71"/>
      <c r="H100" s="71"/>
    </row>
    <row r="101" spans="3:8" ht="14.1" customHeight="1" x14ac:dyDescent="0.3"/>
    <row r="102" spans="3:8" ht="14.1" customHeight="1" x14ac:dyDescent="0.3"/>
    <row r="103" spans="3:8" ht="14.1" customHeight="1" x14ac:dyDescent="0.3"/>
    <row r="104" spans="3:8" ht="14.1" customHeight="1" x14ac:dyDescent="0.3"/>
    <row r="105" spans="3:8" ht="14.1" customHeight="1" x14ac:dyDescent="0.3"/>
    <row r="106" spans="3:8" ht="14.1" customHeight="1" x14ac:dyDescent="0.3"/>
    <row r="107" spans="3:8" ht="14.1" customHeight="1" x14ac:dyDescent="0.3"/>
    <row r="108" spans="3:8" ht="14.1" customHeight="1" x14ac:dyDescent="0.3"/>
    <row r="109" spans="3:8" ht="14.1" customHeight="1" x14ac:dyDescent="0.3"/>
    <row r="110" spans="3:8" ht="14.1" customHeight="1" x14ac:dyDescent="0.3"/>
    <row r="111" spans="3:8" ht="14.1" customHeight="1" x14ac:dyDescent="0.3"/>
    <row r="112" spans="3:8" ht="14.1" customHeight="1" x14ac:dyDescent="0.3"/>
    <row r="113" ht="14.1" customHeight="1" x14ac:dyDescent="0.3"/>
    <row r="114" ht="14.1" customHeight="1" x14ac:dyDescent="0.3"/>
    <row r="115" ht="14.1" customHeight="1" x14ac:dyDescent="0.3"/>
    <row r="116" ht="14.1" customHeight="1" x14ac:dyDescent="0.3"/>
    <row r="117" ht="14.1" customHeight="1" x14ac:dyDescent="0.3"/>
    <row r="118" ht="14.1" customHeight="1" x14ac:dyDescent="0.3"/>
    <row r="119" ht="14.1" customHeight="1" x14ac:dyDescent="0.3"/>
    <row r="120" ht="14.1" customHeight="1" x14ac:dyDescent="0.3"/>
    <row r="121" ht="14.1" customHeight="1" x14ac:dyDescent="0.3"/>
    <row r="122" ht="14.1" customHeight="1" x14ac:dyDescent="0.3"/>
    <row r="123" ht="14.1" customHeight="1" x14ac:dyDescent="0.3"/>
    <row r="124" ht="14.1" customHeight="1" x14ac:dyDescent="0.3"/>
    <row r="125" ht="14.1" customHeight="1" x14ac:dyDescent="0.3"/>
    <row r="126" ht="14.1" customHeight="1" x14ac:dyDescent="0.3"/>
    <row r="127" ht="14.1" customHeight="1" x14ac:dyDescent="0.3"/>
    <row r="128" ht="14.1" customHeight="1" x14ac:dyDescent="0.3"/>
    <row r="129" ht="14.1" customHeight="1" x14ac:dyDescent="0.3"/>
    <row r="130" ht="14.1" customHeight="1" x14ac:dyDescent="0.3"/>
    <row r="131" ht="14.1" customHeight="1" x14ac:dyDescent="0.3"/>
    <row r="132" ht="14.1" customHeight="1" x14ac:dyDescent="0.3"/>
    <row r="133" ht="14.1" customHeight="1" x14ac:dyDescent="0.3"/>
    <row r="134" ht="14.1" customHeight="1" x14ac:dyDescent="0.3"/>
    <row r="135" ht="14.1" customHeight="1" x14ac:dyDescent="0.3"/>
    <row r="136" ht="14.1" customHeight="1" x14ac:dyDescent="0.3"/>
    <row r="137" ht="14.1" customHeight="1" x14ac:dyDescent="0.3"/>
    <row r="138" ht="14.1" customHeight="1" x14ac:dyDescent="0.3"/>
    <row r="139" ht="14.1" customHeight="1" x14ac:dyDescent="0.3"/>
    <row r="140" ht="14.1" customHeight="1" x14ac:dyDescent="0.3"/>
    <row r="141" ht="14.1" customHeight="1" x14ac:dyDescent="0.3"/>
    <row r="142" ht="14.1" customHeight="1" x14ac:dyDescent="0.3"/>
    <row r="143" ht="14.1" customHeight="1" x14ac:dyDescent="0.3"/>
    <row r="144" ht="14.1" customHeight="1" x14ac:dyDescent="0.3"/>
    <row r="145" ht="14.1" customHeight="1" x14ac:dyDescent="0.3"/>
    <row r="146" ht="14.1" customHeight="1" x14ac:dyDescent="0.3"/>
    <row r="147" ht="14.1" customHeight="1" x14ac:dyDescent="0.3"/>
    <row r="148" ht="14.1" customHeight="1" x14ac:dyDescent="0.3"/>
    <row r="149" ht="14.1" customHeight="1" x14ac:dyDescent="0.3"/>
    <row r="150" ht="14.1" customHeight="1" x14ac:dyDescent="0.3"/>
    <row r="151" ht="14.1" customHeight="1" x14ac:dyDescent="0.3"/>
    <row r="152" ht="14.1" customHeight="1" x14ac:dyDescent="0.3"/>
    <row r="153" ht="14.1" customHeight="1" x14ac:dyDescent="0.3"/>
    <row r="154" ht="14.1" customHeight="1" x14ac:dyDescent="0.3"/>
    <row r="155" ht="14.1" customHeight="1" x14ac:dyDescent="0.3"/>
    <row r="156" ht="14.1" customHeight="1" x14ac:dyDescent="0.3"/>
    <row r="157" ht="14.1" customHeight="1" x14ac:dyDescent="0.3"/>
    <row r="158" ht="14.1" customHeight="1" x14ac:dyDescent="0.3"/>
    <row r="159" ht="14.1" customHeight="1" x14ac:dyDescent="0.3"/>
    <row r="160" ht="14.1" customHeight="1" x14ac:dyDescent="0.3"/>
    <row r="161" ht="14.1" customHeight="1" x14ac:dyDescent="0.3"/>
    <row r="162" ht="14.1" customHeight="1" x14ac:dyDescent="0.3"/>
    <row r="163" ht="14.1" customHeight="1" x14ac:dyDescent="0.3"/>
    <row r="164" ht="14.1" customHeight="1" x14ac:dyDescent="0.3"/>
    <row r="165" ht="14.1" customHeight="1" x14ac:dyDescent="0.3"/>
    <row r="166" ht="14.1" customHeight="1" x14ac:dyDescent="0.3"/>
    <row r="167" ht="14.1" customHeight="1" x14ac:dyDescent="0.3"/>
    <row r="168" ht="14.1" customHeight="1" x14ac:dyDescent="0.3"/>
    <row r="169" ht="14.1" customHeight="1" x14ac:dyDescent="0.3"/>
    <row r="170" ht="14.1" customHeight="1" x14ac:dyDescent="0.3"/>
    <row r="171" ht="14.1" customHeight="1" x14ac:dyDescent="0.3"/>
    <row r="172" ht="14.1" customHeight="1" x14ac:dyDescent="0.3"/>
    <row r="173" ht="14.1" customHeight="1" x14ac:dyDescent="0.3"/>
    <row r="174" ht="14.1" customHeight="1" x14ac:dyDescent="0.3"/>
    <row r="175" ht="14.1" customHeight="1" x14ac:dyDescent="0.3"/>
    <row r="176" ht="14.1" customHeight="1" x14ac:dyDescent="0.3"/>
    <row r="177" ht="14.1" customHeight="1" x14ac:dyDescent="0.3"/>
    <row r="178" ht="14.1" customHeight="1" x14ac:dyDescent="0.3"/>
    <row r="179" ht="14.1" customHeight="1" x14ac:dyDescent="0.3"/>
    <row r="180" ht="14.1" customHeight="1" x14ac:dyDescent="0.3"/>
  </sheetData>
  <phoneticPr fontId="1" type="noConversion"/>
  <conditionalFormatting sqref="B5:H48">
    <cfRule type="expression" dxfId="17" priority="1">
      <formula>$B5&lt;&gt;""</formula>
    </cfRule>
  </conditionalFormatting>
  <pageMargins left="0.7" right="0.7" top="0.75" bottom="0.75" header="0.3" footer="0.3"/>
  <pageSetup paperSize="9" scale="6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F114-B072-40EB-8854-9EE3D91139A1}">
  <sheetPr>
    <tabColor theme="3" tint="0.89999084444715716"/>
  </sheetPr>
  <dimension ref="A1:F79"/>
  <sheetViews>
    <sheetView tabSelected="1" zoomScaleNormal="100" workbookViewId="0">
      <selection activeCell="A7" sqref="A7:N9"/>
    </sheetView>
  </sheetViews>
  <sheetFormatPr defaultRowHeight="16.5" x14ac:dyDescent="0.3"/>
  <cols>
    <col min="1" max="1" width="4.625" style="76" customWidth="1"/>
    <col min="2" max="2" width="9.625" style="76" customWidth="1"/>
    <col min="3" max="3" width="4.625" style="76" customWidth="1"/>
    <col min="4" max="4" width="46.5" style="85" customWidth="1"/>
    <col min="5" max="5" width="6.75" style="76" customWidth="1"/>
    <col min="6" max="6" width="5.625" style="85" customWidth="1"/>
  </cols>
  <sheetData>
    <row r="1" spans="1:6" x14ac:dyDescent="0.3">
      <c r="A1" s="73"/>
      <c r="B1" s="73"/>
      <c r="C1" s="73"/>
      <c r="D1" s="74"/>
      <c r="E1" s="73"/>
      <c r="F1" s="74"/>
    </row>
    <row r="2" spans="1:6" ht="17.25" x14ac:dyDescent="0.3">
      <c r="A2" s="75" t="s">
        <v>357</v>
      </c>
      <c r="C2" s="77"/>
      <c r="D2" s="78"/>
      <c r="E2" s="77"/>
      <c r="F2" s="1"/>
    </row>
    <row r="3" spans="1:6" x14ac:dyDescent="0.3">
      <c r="A3" s="79"/>
      <c r="B3" s="80"/>
      <c r="C3" s="80"/>
      <c r="D3" s="81"/>
      <c r="E3" s="80"/>
      <c r="F3" s="1"/>
    </row>
    <row r="4" spans="1:6" ht="22.5" x14ac:dyDescent="0.3">
      <c r="A4" s="82"/>
      <c r="B4" s="83" t="s">
        <v>267</v>
      </c>
      <c r="C4" s="83" t="s">
        <v>11</v>
      </c>
      <c r="D4" s="83" t="s">
        <v>12</v>
      </c>
      <c r="E4" s="83" t="s">
        <v>13</v>
      </c>
      <c r="F4" s="84" t="s">
        <v>268</v>
      </c>
    </row>
    <row r="5" spans="1:6" s="120" customFormat="1" ht="11.1" customHeight="1" x14ac:dyDescent="0.3">
      <c r="A5" s="76"/>
      <c r="B5" s="150" t="s">
        <v>14</v>
      </c>
      <c r="C5" s="86" t="s">
        <v>26</v>
      </c>
      <c r="D5" s="94" t="s">
        <v>99</v>
      </c>
      <c r="E5" s="95" t="s">
        <v>15</v>
      </c>
      <c r="F5" s="100">
        <f>COUNTIF(G5:XFD5,"취약")</f>
        <v>0</v>
      </c>
    </row>
    <row r="6" spans="1:6" s="120" customFormat="1" ht="11.1" customHeight="1" x14ac:dyDescent="0.3">
      <c r="A6" s="76"/>
      <c r="B6" s="151"/>
      <c r="C6" s="87" t="s">
        <v>27</v>
      </c>
      <c r="D6" s="91" t="s">
        <v>102</v>
      </c>
      <c r="E6" s="96" t="s">
        <v>15</v>
      </c>
      <c r="F6" s="100">
        <f t="shared" ref="F6:F69" si="0">COUNTIF(G6:XFD6,"취약")</f>
        <v>0</v>
      </c>
    </row>
    <row r="7" spans="1:6" s="120" customFormat="1" ht="11.1" customHeight="1" x14ac:dyDescent="0.3">
      <c r="A7" s="76"/>
      <c r="B7" s="151"/>
      <c r="C7" s="87" t="s">
        <v>28</v>
      </c>
      <c r="D7" s="91" t="s">
        <v>104</v>
      </c>
      <c r="E7" s="96" t="s">
        <v>15</v>
      </c>
      <c r="F7" s="100">
        <f t="shared" si="0"/>
        <v>0</v>
      </c>
    </row>
    <row r="8" spans="1:6" s="120" customFormat="1" ht="11.1" customHeight="1" x14ac:dyDescent="0.3">
      <c r="A8" s="76"/>
      <c r="B8" s="151"/>
      <c r="C8" s="87" t="s">
        <v>29</v>
      </c>
      <c r="D8" s="91" t="s">
        <v>105</v>
      </c>
      <c r="E8" s="96" t="s">
        <v>15</v>
      </c>
      <c r="F8" s="100">
        <f t="shared" si="0"/>
        <v>0</v>
      </c>
    </row>
    <row r="9" spans="1:6" s="120" customFormat="1" ht="11.1" customHeight="1" x14ac:dyDescent="0.3">
      <c r="A9" s="76"/>
      <c r="B9" s="151"/>
      <c r="C9" s="87" t="s">
        <v>30</v>
      </c>
      <c r="D9" s="91" t="s">
        <v>106</v>
      </c>
      <c r="E9" s="96" t="s">
        <v>16</v>
      </c>
      <c r="F9" s="100">
        <f t="shared" si="0"/>
        <v>0</v>
      </c>
    </row>
    <row r="10" spans="1:6" s="120" customFormat="1" ht="11.1" customHeight="1" x14ac:dyDescent="0.3">
      <c r="A10" s="76"/>
      <c r="B10" s="151"/>
      <c r="C10" s="87" t="s">
        <v>31</v>
      </c>
      <c r="D10" s="91" t="s">
        <v>107</v>
      </c>
      <c r="E10" s="96" t="s">
        <v>15</v>
      </c>
      <c r="F10" s="100">
        <f t="shared" si="0"/>
        <v>0</v>
      </c>
    </row>
    <row r="11" spans="1:6" s="120" customFormat="1" ht="11.1" customHeight="1" x14ac:dyDescent="0.3">
      <c r="A11" s="76"/>
      <c r="B11" s="151"/>
      <c r="C11" s="87" t="s">
        <v>32</v>
      </c>
      <c r="D11" s="91" t="s">
        <v>108</v>
      </c>
      <c r="E11" s="96" t="s">
        <v>17</v>
      </c>
      <c r="F11" s="100">
        <f t="shared" si="0"/>
        <v>0</v>
      </c>
    </row>
    <row r="12" spans="1:6" s="120" customFormat="1" ht="11.1" customHeight="1" x14ac:dyDescent="0.3">
      <c r="A12" s="76"/>
      <c r="B12" s="151"/>
      <c r="C12" s="87" t="s">
        <v>33</v>
      </c>
      <c r="D12" s="91" t="s">
        <v>109</v>
      </c>
      <c r="E12" s="96" t="s">
        <v>16</v>
      </c>
      <c r="F12" s="100">
        <f t="shared" si="0"/>
        <v>0</v>
      </c>
    </row>
    <row r="13" spans="1:6" s="120" customFormat="1" ht="11.1" customHeight="1" x14ac:dyDescent="0.3">
      <c r="A13" s="76"/>
      <c r="B13" s="151"/>
      <c r="C13" s="87" t="s">
        <v>34</v>
      </c>
      <c r="D13" s="91" t="s">
        <v>110</v>
      </c>
      <c r="E13" s="96" t="s">
        <v>17</v>
      </c>
      <c r="F13" s="100">
        <f t="shared" si="0"/>
        <v>0</v>
      </c>
    </row>
    <row r="14" spans="1:6" s="120" customFormat="1" ht="11.1" customHeight="1" x14ac:dyDescent="0.3">
      <c r="A14" s="76"/>
      <c r="B14" s="151"/>
      <c r="C14" s="87" t="s">
        <v>35</v>
      </c>
      <c r="D14" s="91" t="s">
        <v>111</v>
      </c>
      <c r="E14" s="96" t="s">
        <v>16</v>
      </c>
      <c r="F14" s="100">
        <f t="shared" si="0"/>
        <v>0</v>
      </c>
    </row>
    <row r="15" spans="1:6" s="120" customFormat="1" ht="11.1" customHeight="1" x14ac:dyDescent="0.3">
      <c r="A15" s="76"/>
      <c r="B15" s="151"/>
      <c r="C15" s="87" t="s">
        <v>36</v>
      </c>
      <c r="D15" s="91" t="s">
        <v>113</v>
      </c>
      <c r="E15" s="96" t="s">
        <v>17</v>
      </c>
      <c r="F15" s="100">
        <f t="shared" si="0"/>
        <v>0</v>
      </c>
    </row>
    <row r="16" spans="1:6" s="120" customFormat="1" ht="11.1" customHeight="1" x14ac:dyDescent="0.3">
      <c r="A16" s="76"/>
      <c r="B16" s="151"/>
      <c r="C16" s="87" t="s">
        <v>37</v>
      </c>
      <c r="D16" s="91" t="s">
        <v>115</v>
      </c>
      <c r="E16" s="96" t="s">
        <v>17</v>
      </c>
      <c r="F16" s="100">
        <f t="shared" si="0"/>
        <v>0</v>
      </c>
    </row>
    <row r="17" spans="1:6" s="120" customFormat="1" ht="11.1" customHeight="1" x14ac:dyDescent="0.3">
      <c r="A17" s="76"/>
      <c r="B17" s="152"/>
      <c r="C17" s="88" t="s">
        <v>38</v>
      </c>
      <c r="D17" s="92" t="s">
        <v>116</v>
      </c>
      <c r="E17" s="97" t="s">
        <v>16</v>
      </c>
      <c r="F17" s="100">
        <f t="shared" si="0"/>
        <v>0</v>
      </c>
    </row>
    <row r="18" spans="1:6" s="120" customFormat="1" ht="11.1" customHeight="1" x14ac:dyDescent="0.3">
      <c r="A18" s="76"/>
      <c r="B18" s="150" t="s">
        <v>18</v>
      </c>
      <c r="C18" s="86" t="s">
        <v>39</v>
      </c>
      <c r="D18" s="94" t="s">
        <v>117</v>
      </c>
      <c r="E18" s="95" t="s">
        <v>15</v>
      </c>
      <c r="F18" s="100">
        <f t="shared" si="0"/>
        <v>0</v>
      </c>
    </row>
    <row r="19" spans="1:6" s="120" customFormat="1" ht="11.1" customHeight="1" x14ac:dyDescent="0.3">
      <c r="A19" s="76"/>
      <c r="B19" s="151"/>
      <c r="C19" s="87" t="s">
        <v>40</v>
      </c>
      <c r="D19" s="91" t="s">
        <v>118</v>
      </c>
      <c r="E19" s="96" t="s">
        <v>15</v>
      </c>
      <c r="F19" s="100">
        <f t="shared" si="0"/>
        <v>0</v>
      </c>
    </row>
    <row r="20" spans="1:6" s="120" customFormat="1" ht="11.1" customHeight="1" x14ac:dyDescent="0.3">
      <c r="A20" s="76"/>
      <c r="B20" s="151"/>
      <c r="C20" s="87" t="s">
        <v>41</v>
      </c>
      <c r="D20" s="91" t="s">
        <v>119</v>
      </c>
      <c r="E20" s="96" t="s">
        <v>15</v>
      </c>
      <c r="F20" s="100">
        <f t="shared" si="0"/>
        <v>0</v>
      </c>
    </row>
    <row r="21" spans="1:6" s="120" customFormat="1" ht="11.1" customHeight="1" x14ac:dyDescent="0.3">
      <c r="A21" s="76"/>
      <c r="B21" s="151"/>
      <c r="C21" s="87" t="s">
        <v>42</v>
      </c>
      <c r="D21" s="91" t="s">
        <v>120</v>
      </c>
      <c r="E21" s="96" t="s">
        <v>15</v>
      </c>
      <c r="F21" s="100">
        <f t="shared" si="0"/>
        <v>0</v>
      </c>
    </row>
    <row r="22" spans="1:6" s="120" customFormat="1" ht="11.1" customHeight="1" x14ac:dyDescent="0.3">
      <c r="A22" s="76"/>
      <c r="B22" s="151"/>
      <c r="C22" s="87" t="s">
        <v>43</v>
      </c>
      <c r="D22" s="91" t="s">
        <v>121</v>
      </c>
      <c r="E22" s="96" t="s">
        <v>15</v>
      </c>
      <c r="F22" s="100">
        <f t="shared" si="0"/>
        <v>0</v>
      </c>
    </row>
    <row r="23" spans="1:6" s="120" customFormat="1" ht="11.1" customHeight="1" x14ac:dyDescent="0.3">
      <c r="A23" s="76"/>
      <c r="B23" s="151"/>
      <c r="C23" s="87" t="s">
        <v>44</v>
      </c>
      <c r="D23" s="91" t="s">
        <v>122</v>
      </c>
      <c r="E23" s="96" t="s">
        <v>15</v>
      </c>
      <c r="F23" s="100">
        <f t="shared" si="0"/>
        <v>0</v>
      </c>
    </row>
    <row r="24" spans="1:6" s="120" customFormat="1" ht="11.1" customHeight="1" x14ac:dyDescent="0.3">
      <c r="A24" s="76"/>
      <c r="B24" s="151"/>
      <c r="C24" s="87" t="s">
        <v>45</v>
      </c>
      <c r="D24" s="91" t="s">
        <v>123</v>
      </c>
      <c r="E24" s="96" t="s">
        <v>15</v>
      </c>
      <c r="F24" s="100">
        <f t="shared" si="0"/>
        <v>0</v>
      </c>
    </row>
    <row r="25" spans="1:6" s="120" customFormat="1" ht="11.1" customHeight="1" x14ac:dyDescent="0.3">
      <c r="A25" s="76"/>
      <c r="B25" s="151"/>
      <c r="C25" s="87" t="s">
        <v>46</v>
      </c>
      <c r="D25" s="91" t="s">
        <v>124</v>
      </c>
      <c r="E25" s="96" t="s">
        <v>15</v>
      </c>
      <c r="F25" s="100">
        <f t="shared" si="0"/>
        <v>0</v>
      </c>
    </row>
    <row r="26" spans="1:6" s="120" customFormat="1" ht="11.1" customHeight="1" x14ac:dyDescent="0.3">
      <c r="A26" s="76"/>
      <c r="B26" s="151"/>
      <c r="C26" s="87" t="s">
        <v>47</v>
      </c>
      <c r="D26" s="91" t="s">
        <v>125</v>
      </c>
      <c r="E26" s="96" t="s">
        <v>15</v>
      </c>
      <c r="F26" s="100">
        <f t="shared" si="0"/>
        <v>0</v>
      </c>
    </row>
    <row r="27" spans="1:6" s="120" customFormat="1" ht="11.1" customHeight="1" x14ac:dyDescent="0.3">
      <c r="A27" s="76"/>
      <c r="B27" s="151"/>
      <c r="C27" s="87" t="s">
        <v>48</v>
      </c>
      <c r="D27" s="91" t="s">
        <v>126</v>
      </c>
      <c r="E27" s="96" t="s">
        <v>15</v>
      </c>
      <c r="F27" s="100">
        <f t="shared" si="0"/>
        <v>0</v>
      </c>
    </row>
    <row r="28" spans="1:6" s="120" customFormat="1" ht="11.1" customHeight="1" x14ac:dyDescent="0.3">
      <c r="A28" s="76"/>
      <c r="B28" s="151"/>
      <c r="C28" s="87" t="s">
        <v>49</v>
      </c>
      <c r="D28" s="91" t="s">
        <v>127</v>
      </c>
      <c r="E28" s="96" t="s">
        <v>15</v>
      </c>
      <c r="F28" s="100">
        <f t="shared" si="0"/>
        <v>0</v>
      </c>
    </row>
    <row r="29" spans="1:6" s="120" customFormat="1" ht="11.1" customHeight="1" x14ac:dyDescent="0.3">
      <c r="A29" s="76"/>
      <c r="B29" s="151"/>
      <c r="C29" s="87" t="s">
        <v>50</v>
      </c>
      <c r="D29" s="91" t="s">
        <v>128</v>
      </c>
      <c r="E29" s="96" t="s">
        <v>15</v>
      </c>
      <c r="F29" s="100">
        <f t="shared" si="0"/>
        <v>0</v>
      </c>
    </row>
    <row r="30" spans="1:6" s="120" customFormat="1" ht="11.1" customHeight="1" x14ac:dyDescent="0.3">
      <c r="A30" s="76"/>
      <c r="B30" s="151"/>
      <c r="C30" s="87" t="s">
        <v>51</v>
      </c>
      <c r="D30" s="91" t="s">
        <v>129</v>
      </c>
      <c r="E30" s="96" t="s">
        <v>15</v>
      </c>
      <c r="F30" s="100">
        <f t="shared" si="0"/>
        <v>0</v>
      </c>
    </row>
    <row r="31" spans="1:6" s="120" customFormat="1" ht="11.1" customHeight="1" x14ac:dyDescent="0.3">
      <c r="A31" s="76"/>
      <c r="B31" s="151"/>
      <c r="C31" s="87" t="s">
        <v>52</v>
      </c>
      <c r="D31" s="91" t="s">
        <v>130</v>
      </c>
      <c r="E31" s="96" t="s">
        <v>15</v>
      </c>
      <c r="F31" s="100">
        <f t="shared" si="0"/>
        <v>0</v>
      </c>
    </row>
    <row r="32" spans="1:6" s="120" customFormat="1" ht="11.1" customHeight="1" x14ac:dyDescent="0.3">
      <c r="A32" s="76"/>
      <c r="B32" s="151"/>
      <c r="C32" s="87" t="s">
        <v>53</v>
      </c>
      <c r="D32" s="91" t="s">
        <v>131</v>
      </c>
      <c r="E32" s="96" t="s">
        <v>15</v>
      </c>
      <c r="F32" s="100">
        <f t="shared" si="0"/>
        <v>0</v>
      </c>
    </row>
    <row r="33" spans="1:6" s="120" customFormat="1" ht="11.1" customHeight="1" x14ac:dyDescent="0.3">
      <c r="A33" s="76"/>
      <c r="B33" s="151"/>
      <c r="C33" s="87" t="s">
        <v>54</v>
      </c>
      <c r="D33" s="91" t="s">
        <v>132</v>
      </c>
      <c r="E33" s="96" t="s">
        <v>17</v>
      </c>
      <c r="F33" s="100">
        <f t="shared" si="0"/>
        <v>0</v>
      </c>
    </row>
    <row r="34" spans="1:6" s="120" customFormat="1" ht="11.1" customHeight="1" x14ac:dyDescent="0.3">
      <c r="A34" s="76"/>
      <c r="B34" s="151"/>
      <c r="C34" s="87" t="s">
        <v>55</v>
      </c>
      <c r="D34" s="91" t="s">
        <v>133</v>
      </c>
      <c r="E34" s="96" t="s">
        <v>16</v>
      </c>
      <c r="F34" s="100">
        <f t="shared" si="0"/>
        <v>0</v>
      </c>
    </row>
    <row r="35" spans="1:6" s="120" customFormat="1" ht="11.1" customHeight="1" x14ac:dyDescent="0.3">
      <c r="A35" s="76"/>
      <c r="B35" s="151"/>
      <c r="C35" s="87" t="s">
        <v>56</v>
      </c>
      <c r="D35" s="91" t="s">
        <v>134</v>
      </c>
      <c r="E35" s="96" t="s">
        <v>16</v>
      </c>
      <c r="F35" s="100">
        <f t="shared" si="0"/>
        <v>0</v>
      </c>
    </row>
    <row r="36" spans="1:6" s="120" customFormat="1" ht="11.1" customHeight="1" x14ac:dyDescent="0.3">
      <c r="A36" s="76"/>
      <c r="B36" s="151"/>
      <c r="C36" s="87" t="s">
        <v>57</v>
      </c>
      <c r="D36" s="91" t="s">
        <v>135</v>
      </c>
      <c r="E36" s="96" t="s">
        <v>16</v>
      </c>
      <c r="F36" s="100">
        <f t="shared" si="0"/>
        <v>0</v>
      </c>
    </row>
    <row r="37" spans="1:6" s="120" customFormat="1" ht="11.1" customHeight="1" x14ac:dyDescent="0.3">
      <c r="A37" s="76"/>
      <c r="B37" s="152"/>
      <c r="C37" s="88" t="s">
        <v>58</v>
      </c>
      <c r="D37" s="92" t="s">
        <v>136</v>
      </c>
      <c r="E37" s="97" t="s">
        <v>17</v>
      </c>
      <c r="F37" s="100">
        <f t="shared" si="0"/>
        <v>0</v>
      </c>
    </row>
    <row r="38" spans="1:6" s="120" customFormat="1" ht="11.1" customHeight="1" x14ac:dyDescent="0.3">
      <c r="A38" s="76"/>
      <c r="B38" s="150" t="s">
        <v>19</v>
      </c>
      <c r="C38" s="86" t="s">
        <v>59</v>
      </c>
      <c r="D38" s="94" t="s">
        <v>137</v>
      </c>
      <c r="E38" s="95" t="s">
        <v>15</v>
      </c>
      <c r="F38" s="100">
        <f t="shared" si="0"/>
        <v>0</v>
      </c>
    </row>
    <row r="39" spans="1:6" s="120" customFormat="1" ht="11.1" customHeight="1" x14ac:dyDescent="0.3">
      <c r="A39" s="76"/>
      <c r="B39" s="151"/>
      <c r="C39" s="87" t="s">
        <v>60</v>
      </c>
      <c r="D39" s="91" t="s">
        <v>138</v>
      </c>
      <c r="E39" s="96" t="s">
        <v>15</v>
      </c>
      <c r="F39" s="100">
        <f t="shared" si="0"/>
        <v>0</v>
      </c>
    </row>
    <row r="40" spans="1:6" s="120" customFormat="1" ht="11.1" customHeight="1" x14ac:dyDescent="0.3">
      <c r="A40" s="76"/>
      <c r="B40" s="151"/>
      <c r="C40" s="87" t="s">
        <v>61</v>
      </c>
      <c r="D40" s="91" t="s">
        <v>139</v>
      </c>
      <c r="E40" s="96" t="s">
        <v>15</v>
      </c>
      <c r="F40" s="100">
        <f t="shared" si="0"/>
        <v>0</v>
      </c>
    </row>
    <row r="41" spans="1:6" s="120" customFormat="1" ht="11.1" customHeight="1" x14ac:dyDescent="0.3">
      <c r="A41" s="76"/>
      <c r="B41" s="151"/>
      <c r="C41" s="87" t="s">
        <v>62</v>
      </c>
      <c r="D41" s="91" t="s">
        <v>140</v>
      </c>
      <c r="E41" s="96" t="s">
        <v>15</v>
      </c>
      <c r="F41" s="100">
        <f t="shared" si="0"/>
        <v>0</v>
      </c>
    </row>
    <row r="42" spans="1:6" s="120" customFormat="1" ht="11.1" customHeight="1" x14ac:dyDescent="0.3">
      <c r="A42" s="76"/>
      <c r="B42" s="151"/>
      <c r="C42" s="87" t="s">
        <v>63</v>
      </c>
      <c r="D42" s="91" t="s">
        <v>141</v>
      </c>
      <c r="E42" s="96" t="s">
        <v>15</v>
      </c>
      <c r="F42" s="100">
        <f t="shared" si="0"/>
        <v>0</v>
      </c>
    </row>
    <row r="43" spans="1:6" s="120" customFormat="1" ht="11.1" customHeight="1" x14ac:dyDescent="0.3">
      <c r="A43" s="76"/>
      <c r="B43" s="151"/>
      <c r="C43" s="87" t="s">
        <v>64</v>
      </c>
      <c r="D43" s="91" t="s">
        <v>142</v>
      </c>
      <c r="E43" s="96" t="s">
        <v>15</v>
      </c>
      <c r="F43" s="100">
        <f t="shared" si="0"/>
        <v>0</v>
      </c>
    </row>
    <row r="44" spans="1:6" s="120" customFormat="1" ht="11.1" customHeight="1" x14ac:dyDescent="0.3">
      <c r="A44" s="76"/>
      <c r="B44" s="151"/>
      <c r="C44" s="87" t="s">
        <v>65</v>
      </c>
      <c r="D44" s="91" t="s">
        <v>144</v>
      </c>
      <c r="E44" s="96" t="s">
        <v>15</v>
      </c>
      <c r="F44" s="100">
        <f t="shared" si="0"/>
        <v>0</v>
      </c>
    </row>
    <row r="45" spans="1:6" s="120" customFormat="1" ht="11.1" customHeight="1" x14ac:dyDescent="0.3">
      <c r="A45" s="76"/>
      <c r="B45" s="151"/>
      <c r="C45" s="87" t="s">
        <v>66</v>
      </c>
      <c r="D45" s="91" t="s">
        <v>145</v>
      </c>
      <c r="E45" s="96" t="s">
        <v>15</v>
      </c>
      <c r="F45" s="100">
        <f t="shared" si="0"/>
        <v>0</v>
      </c>
    </row>
    <row r="46" spans="1:6" s="120" customFormat="1" ht="11.1" customHeight="1" x14ac:dyDescent="0.3">
      <c r="A46" s="76"/>
      <c r="B46" s="151"/>
      <c r="C46" s="87" t="s">
        <v>67</v>
      </c>
      <c r="D46" s="91" t="s">
        <v>146</v>
      </c>
      <c r="E46" s="96" t="s">
        <v>15</v>
      </c>
      <c r="F46" s="100">
        <f t="shared" si="0"/>
        <v>0</v>
      </c>
    </row>
    <row r="47" spans="1:6" s="120" customFormat="1" ht="11.1" customHeight="1" x14ac:dyDescent="0.3">
      <c r="A47" s="76"/>
      <c r="B47" s="151"/>
      <c r="C47" s="87" t="s">
        <v>68</v>
      </c>
      <c r="D47" s="91" t="s">
        <v>147</v>
      </c>
      <c r="E47" s="96" t="s">
        <v>15</v>
      </c>
      <c r="F47" s="100">
        <f t="shared" si="0"/>
        <v>0</v>
      </c>
    </row>
    <row r="48" spans="1:6" s="120" customFormat="1" ht="11.1" customHeight="1" x14ac:dyDescent="0.3">
      <c r="A48" s="76"/>
      <c r="B48" s="151"/>
      <c r="C48" s="87" t="s">
        <v>69</v>
      </c>
      <c r="D48" s="91" t="s">
        <v>148</v>
      </c>
      <c r="E48" s="96" t="s">
        <v>15</v>
      </c>
      <c r="F48" s="100">
        <f t="shared" si="0"/>
        <v>0</v>
      </c>
    </row>
    <row r="49" spans="1:6" s="120" customFormat="1" ht="11.1" customHeight="1" x14ac:dyDescent="0.3">
      <c r="A49" s="76"/>
      <c r="B49" s="151"/>
      <c r="C49" s="87" t="s">
        <v>70</v>
      </c>
      <c r="D49" s="91" t="s">
        <v>149</v>
      </c>
      <c r="E49" s="96" t="s">
        <v>15</v>
      </c>
      <c r="F49" s="100">
        <f t="shared" si="0"/>
        <v>0</v>
      </c>
    </row>
    <row r="50" spans="1:6" s="120" customFormat="1" ht="11.1" customHeight="1" x14ac:dyDescent="0.3">
      <c r="A50" s="76"/>
      <c r="B50" s="151"/>
      <c r="C50" s="87" t="s">
        <v>71</v>
      </c>
      <c r="D50" s="91" t="s">
        <v>151</v>
      </c>
      <c r="E50" s="96" t="s">
        <v>15</v>
      </c>
      <c r="F50" s="100">
        <f t="shared" si="0"/>
        <v>0</v>
      </c>
    </row>
    <row r="51" spans="1:6" s="120" customFormat="1" ht="11.1" customHeight="1" x14ac:dyDescent="0.3">
      <c r="A51" s="76"/>
      <c r="B51" s="151"/>
      <c r="C51" s="87" t="s">
        <v>72</v>
      </c>
      <c r="D51" s="91" t="s">
        <v>152</v>
      </c>
      <c r="E51" s="96" t="s">
        <v>15</v>
      </c>
      <c r="F51" s="100">
        <f t="shared" si="0"/>
        <v>0</v>
      </c>
    </row>
    <row r="52" spans="1:6" s="120" customFormat="1" ht="11.1" customHeight="1" x14ac:dyDescent="0.3">
      <c r="A52" s="76"/>
      <c r="B52" s="151"/>
      <c r="C52" s="87" t="s">
        <v>73</v>
      </c>
      <c r="D52" s="91" t="s">
        <v>153</v>
      </c>
      <c r="E52" s="96" t="s">
        <v>16</v>
      </c>
      <c r="F52" s="100">
        <f t="shared" si="0"/>
        <v>0</v>
      </c>
    </row>
    <row r="53" spans="1:6" s="120" customFormat="1" ht="11.1" customHeight="1" x14ac:dyDescent="0.3">
      <c r="A53" s="76"/>
      <c r="B53" s="151"/>
      <c r="C53" s="87" t="s">
        <v>74</v>
      </c>
      <c r="D53" s="91" t="s">
        <v>155</v>
      </c>
      <c r="E53" s="96" t="s">
        <v>15</v>
      </c>
      <c r="F53" s="100">
        <f t="shared" si="0"/>
        <v>0</v>
      </c>
    </row>
    <row r="54" spans="1:6" s="120" customFormat="1" ht="11.1" customHeight="1" x14ac:dyDescent="0.3">
      <c r="A54" s="76"/>
      <c r="B54" s="151"/>
      <c r="C54" s="87" t="s">
        <v>75</v>
      </c>
      <c r="D54" s="91" t="s">
        <v>157</v>
      </c>
      <c r="E54" s="96" t="s">
        <v>15</v>
      </c>
      <c r="F54" s="100">
        <f t="shared" si="0"/>
        <v>0</v>
      </c>
    </row>
    <row r="55" spans="1:6" s="120" customFormat="1" ht="11.1" customHeight="1" x14ac:dyDescent="0.3">
      <c r="A55" s="76"/>
      <c r="B55" s="151"/>
      <c r="C55" s="87" t="s">
        <v>76</v>
      </c>
      <c r="D55" s="91" t="s">
        <v>159</v>
      </c>
      <c r="E55" s="96" t="s">
        <v>16</v>
      </c>
      <c r="F55" s="100">
        <f t="shared" si="0"/>
        <v>0</v>
      </c>
    </row>
    <row r="56" spans="1:6" s="120" customFormat="1" ht="11.1" customHeight="1" x14ac:dyDescent="0.3">
      <c r="A56" s="76"/>
      <c r="B56" s="151"/>
      <c r="C56" s="87" t="s">
        <v>77</v>
      </c>
      <c r="D56" s="91" t="s">
        <v>160</v>
      </c>
      <c r="E56" s="96" t="s">
        <v>16</v>
      </c>
      <c r="F56" s="100">
        <f t="shared" si="0"/>
        <v>0</v>
      </c>
    </row>
    <row r="57" spans="1:6" s="120" customFormat="1" ht="11.1" customHeight="1" x14ac:dyDescent="0.3">
      <c r="A57" s="76"/>
      <c r="B57" s="151"/>
      <c r="C57" s="87" t="s">
        <v>78</v>
      </c>
      <c r="D57" s="91" t="s">
        <v>161</v>
      </c>
      <c r="E57" s="96" t="s">
        <v>17</v>
      </c>
      <c r="F57" s="100">
        <f t="shared" si="0"/>
        <v>0</v>
      </c>
    </row>
    <row r="58" spans="1:6" s="120" customFormat="1" ht="11.1" customHeight="1" x14ac:dyDescent="0.3">
      <c r="A58" s="76"/>
      <c r="B58" s="151"/>
      <c r="C58" s="87" t="s">
        <v>79</v>
      </c>
      <c r="D58" s="91" t="s">
        <v>162</v>
      </c>
      <c r="E58" s="96" t="s">
        <v>16</v>
      </c>
      <c r="F58" s="100">
        <f t="shared" si="0"/>
        <v>0</v>
      </c>
    </row>
    <row r="59" spans="1:6" s="120" customFormat="1" ht="11.1" customHeight="1" x14ac:dyDescent="0.3">
      <c r="A59" s="76"/>
      <c r="B59" s="151"/>
      <c r="C59" s="87" t="s">
        <v>80</v>
      </c>
      <c r="D59" s="91" t="s">
        <v>163</v>
      </c>
      <c r="E59" s="96" t="s">
        <v>16</v>
      </c>
      <c r="F59" s="100">
        <f t="shared" si="0"/>
        <v>0</v>
      </c>
    </row>
    <row r="60" spans="1:6" s="120" customFormat="1" ht="11.1" customHeight="1" x14ac:dyDescent="0.3">
      <c r="A60" s="76"/>
      <c r="B60" s="151"/>
      <c r="C60" s="87" t="s">
        <v>81</v>
      </c>
      <c r="D60" s="91" t="s">
        <v>165</v>
      </c>
      <c r="E60" s="96" t="s">
        <v>17</v>
      </c>
      <c r="F60" s="100">
        <f t="shared" si="0"/>
        <v>0</v>
      </c>
    </row>
    <row r="61" spans="1:6" s="120" customFormat="1" ht="11.1" customHeight="1" x14ac:dyDescent="0.3">
      <c r="A61" s="76"/>
      <c r="B61" s="151"/>
      <c r="C61" s="87" t="s">
        <v>82</v>
      </c>
      <c r="D61" s="91" t="s">
        <v>167</v>
      </c>
      <c r="E61" s="96" t="s">
        <v>16</v>
      </c>
      <c r="F61" s="100">
        <f t="shared" si="0"/>
        <v>0</v>
      </c>
    </row>
    <row r="62" spans="1:6" s="120" customFormat="1" ht="11.1" customHeight="1" x14ac:dyDescent="0.3">
      <c r="A62" s="76"/>
      <c r="B62" s="151"/>
      <c r="C62" s="87" t="s">
        <v>83</v>
      </c>
      <c r="D62" s="91" t="s">
        <v>168</v>
      </c>
      <c r="E62" s="96" t="s">
        <v>16</v>
      </c>
      <c r="F62" s="100">
        <f t="shared" si="0"/>
        <v>0</v>
      </c>
    </row>
    <row r="63" spans="1:6" s="120" customFormat="1" ht="11.1" customHeight="1" x14ac:dyDescent="0.3">
      <c r="A63" s="76"/>
      <c r="B63" s="151"/>
      <c r="C63" s="87" t="s">
        <v>84</v>
      </c>
      <c r="D63" s="91" t="s">
        <v>170</v>
      </c>
      <c r="E63" s="96" t="s">
        <v>15</v>
      </c>
      <c r="F63" s="100">
        <f t="shared" si="0"/>
        <v>0</v>
      </c>
    </row>
    <row r="64" spans="1:6" s="120" customFormat="1" ht="11.1" customHeight="1" x14ac:dyDescent="0.3">
      <c r="A64" s="76"/>
      <c r="B64" s="151"/>
      <c r="C64" s="87" t="s">
        <v>85</v>
      </c>
      <c r="D64" s="91" t="s">
        <v>172</v>
      </c>
      <c r="E64" s="96" t="s">
        <v>16</v>
      </c>
      <c r="F64" s="100">
        <f t="shared" si="0"/>
        <v>0</v>
      </c>
    </row>
    <row r="65" spans="1:6" s="120" customFormat="1" ht="11.1" customHeight="1" x14ac:dyDescent="0.3">
      <c r="A65" s="76"/>
      <c r="B65" s="151"/>
      <c r="C65" s="87" t="s">
        <v>86</v>
      </c>
      <c r="D65" s="91" t="s">
        <v>173</v>
      </c>
      <c r="E65" s="96" t="s">
        <v>15</v>
      </c>
      <c r="F65" s="100">
        <f t="shared" si="0"/>
        <v>0</v>
      </c>
    </row>
    <row r="66" spans="1:6" s="120" customFormat="1" ht="11.1" customHeight="1" x14ac:dyDescent="0.3">
      <c r="A66" s="76"/>
      <c r="B66" s="151"/>
      <c r="C66" s="87" t="s">
        <v>87</v>
      </c>
      <c r="D66" s="91" t="s">
        <v>174</v>
      </c>
      <c r="E66" s="96" t="s">
        <v>17</v>
      </c>
      <c r="F66" s="100">
        <f t="shared" si="0"/>
        <v>0</v>
      </c>
    </row>
    <row r="67" spans="1:6" s="120" customFormat="1" ht="11.1" customHeight="1" x14ac:dyDescent="0.3">
      <c r="A67" s="76"/>
      <c r="B67" s="152"/>
      <c r="C67" s="88" t="s">
        <v>88</v>
      </c>
      <c r="D67" s="92" t="s">
        <v>175</v>
      </c>
      <c r="E67" s="97" t="s">
        <v>16</v>
      </c>
      <c r="F67" s="100">
        <f t="shared" si="0"/>
        <v>0</v>
      </c>
    </row>
    <row r="68" spans="1:6" s="120" customFormat="1" ht="11.1" customHeight="1" x14ac:dyDescent="0.3">
      <c r="A68" s="76"/>
      <c r="B68" s="89" t="s">
        <v>20</v>
      </c>
      <c r="C68" s="90" t="s">
        <v>89</v>
      </c>
      <c r="D68" s="93" t="s">
        <v>176</v>
      </c>
      <c r="E68" s="98" t="s">
        <v>15</v>
      </c>
      <c r="F68" s="100">
        <f t="shared" si="0"/>
        <v>0</v>
      </c>
    </row>
    <row r="69" spans="1:6" s="120" customFormat="1" ht="11.1" customHeight="1" x14ac:dyDescent="0.3">
      <c r="A69" s="76"/>
      <c r="B69" s="150" t="s">
        <v>21</v>
      </c>
      <c r="C69" s="86" t="s">
        <v>90</v>
      </c>
      <c r="D69" s="94" t="s">
        <v>177</v>
      </c>
      <c r="E69" s="95" t="s">
        <v>16</v>
      </c>
      <c r="F69" s="100">
        <f t="shared" si="0"/>
        <v>0</v>
      </c>
    </row>
    <row r="70" spans="1:6" s="120" customFormat="1" ht="11.1" customHeight="1" x14ac:dyDescent="0.3">
      <c r="A70" s="76"/>
      <c r="B70" s="151"/>
      <c r="C70" s="87" t="s">
        <v>91</v>
      </c>
      <c r="D70" s="91" t="s">
        <v>178</v>
      </c>
      <c r="E70" s="96" t="s">
        <v>16</v>
      </c>
      <c r="F70" s="100">
        <f t="shared" ref="F70:F71" si="1">COUNTIF(G70:XFD70,"취약")</f>
        <v>0</v>
      </c>
    </row>
    <row r="71" spans="1:6" s="120" customFormat="1" ht="11.1" customHeight="1" x14ac:dyDescent="0.3">
      <c r="A71" s="76"/>
      <c r="B71" s="152"/>
      <c r="C71" s="88" t="s">
        <v>92</v>
      </c>
      <c r="D71" s="92" t="s">
        <v>179</v>
      </c>
      <c r="E71" s="97" t="s">
        <v>16</v>
      </c>
      <c r="F71" s="100">
        <f t="shared" si="1"/>
        <v>0</v>
      </c>
    </row>
    <row r="72" spans="1:6" s="120" customFormat="1" ht="11.1" customHeight="1" x14ac:dyDescent="0.3">
      <c r="A72" s="76"/>
      <c r="B72" s="76"/>
      <c r="C72" s="76"/>
      <c r="D72" s="85"/>
      <c r="E72" s="99" t="s">
        <v>269</v>
      </c>
      <c r="F72" s="100">
        <f>SUM(F5:F71)</f>
        <v>0</v>
      </c>
    </row>
    <row r="73" spans="1:6" s="120" customFormat="1" ht="11.1" customHeight="1" x14ac:dyDescent="0.3">
      <c r="A73" s="76"/>
      <c r="B73" s="76"/>
      <c r="C73" s="76"/>
      <c r="D73" s="85"/>
      <c r="E73" s="99" t="s">
        <v>15</v>
      </c>
      <c r="F73" s="121">
        <f>SUMIF($E$5:$E$71,"상",F5:F71)</f>
        <v>0</v>
      </c>
    </row>
    <row r="74" spans="1:6" s="120" customFormat="1" ht="11.1" customHeight="1" x14ac:dyDescent="0.3">
      <c r="A74" s="76"/>
      <c r="B74" s="76"/>
      <c r="C74" s="76"/>
      <c r="D74" s="85"/>
      <c r="E74" s="99" t="s">
        <v>16</v>
      </c>
      <c r="F74" s="121">
        <f>SUMIF($E$5:$E$71,"중",F5:F71)</f>
        <v>0</v>
      </c>
    </row>
    <row r="75" spans="1:6" s="120" customFormat="1" ht="11.1" customHeight="1" x14ac:dyDescent="0.3">
      <c r="A75" s="76"/>
      <c r="B75" s="76"/>
      <c r="C75" s="76"/>
      <c r="D75" s="85"/>
      <c r="E75" s="99" t="s">
        <v>17</v>
      </c>
      <c r="F75" s="121">
        <f>SUMIF($E$5:$E$71,"하",F5:F71)</f>
        <v>0</v>
      </c>
    </row>
    <row r="76" spans="1:6" s="120" customFormat="1" ht="11.1" customHeight="1" x14ac:dyDescent="0.3">
      <c r="A76" s="76"/>
      <c r="B76" s="76"/>
      <c r="C76" s="76"/>
      <c r="D76" s="85"/>
      <c r="E76" s="99" t="s">
        <v>270</v>
      </c>
      <c r="F76" s="100"/>
    </row>
    <row r="77" spans="1:6" ht="11.1" customHeight="1" x14ac:dyDescent="0.3"/>
    <row r="78" spans="1:6" ht="11.1" customHeight="1" x14ac:dyDescent="0.3"/>
    <row r="79" spans="1:6" ht="11.1" customHeight="1" x14ac:dyDescent="0.3"/>
  </sheetData>
  <mergeCells count="4">
    <mergeCell ref="B69:B71"/>
    <mergeCell ref="B38:B67"/>
    <mergeCell ref="B18:B37"/>
    <mergeCell ref="B5:B17"/>
  </mergeCells>
  <phoneticPr fontId="1" type="noConversion"/>
  <conditionalFormatting sqref="G5:DW71">
    <cfRule type="cellIs" dxfId="16" priority="1" operator="equal">
      <formula>"수동점검"</formula>
    </cfRule>
    <cfRule type="cellIs" dxfId="15" priority="2" operator="equal">
      <formula>"N/A"</formula>
    </cfRule>
    <cfRule type="cellIs" dxfId="14" priority="3" operator="equal">
      <formula>"취약"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1156-469B-4451-96A2-8B194709981F}">
  <dimension ref="A1:V96"/>
  <sheetViews>
    <sheetView zoomScale="85" zoomScaleNormal="85" workbookViewId="0">
      <selection activeCell="G12" sqref="G12"/>
    </sheetView>
  </sheetViews>
  <sheetFormatPr defaultRowHeight="16.5" x14ac:dyDescent="0.3"/>
  <cols>
    <col min="1" max="1" width="3.625" style="8" customWidth="1"/>
    <col min="2" max="2" width="15.75" style="8" customWidth="1"/>
    <col min="3" max="3" width="7" style="8" bestFit="1" customWidth="1"/>
    <col min="4" max="4" width="46.75" style="8" bestFit="1" customWidth="1"/>
    <col min="5" max="5" width="14.375" style="8" bestFit="1" customWidth="1"/>
    <col min="6" max="6" width="7.125" style="8" customWidth="1"/>
    <col min="7" max="7" width="63" style="8" customWidth="1"/>
    <col min="8" max="8" width="25.625" style="8" customWidth="1"/>
  </cols>
  <sheetData>
    <row r="1" spans="1:18" s="8" customFormat="1" ht="16.5" customHeight="1" x14ac:dyDescent="0.3">
      <c r="A1" s="4" t="s">
        <v>340</v>
      </c>
      <c r="B1" s="5"/>
      <c r="C1" s="5"/>
      <c r="D1" s="5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s="8" customFormat="1" ht="16.5" customHeight="1" x14ac:dyDescent="0.3">
      <c r="A2" s="5"/>
      <c r="B2" s="5"/>
      <c r="C2" s="5"/>
      <c r="D2" s="5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3">
      <c r="A3" s="5"/>
      <c r="B3" s="12" t="s">
        <v>10</v>
      </c>
      <c r="C3" s="12" t="s">
        <v>11</v>
      </c>
      <c r="D3" s="160" t="s">
        <v>12</v>
      </c>
      <c r="E3" s="160"/>
      <c r="F3" s="12" t="s">
        <v>13</v>
      </c>
      <c r="G3" s="101" t="s">
        <v>271</v>
      </c>
      <c r="H3" s="101" t="s">
        <v>5</v>
      </c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x14ac:dyDescent="0.3">
      <c r="A4" s="5"/>
      <c r="B4" s="155" t="s">
        <v>14</v>
      </c>
      <c r="C4" s="18" t="s">
        <v>26</v>
      </c>
      <c r="D4" s="158" t="s">
        <v>99</v>
      </c>
      <c r="E4" s="158"/>
      <c r="F4" s="19" t="s">
        <v>15</v>
      </c>
      <c r="G4" s="21" t="s">
        <v>272</v>
      </c>
      <c r="H4" s="24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24" x14ac:dyDescent="0.3">
      <c r="A5" s="5"/>
      <c r="B5" s="156"/>
      <c r="C5" s="25" t="s">
        <v>27</v>
      </c>
      <c r="D5" s="159" t="s">
        <v>102</v>
      </c>
      <c r="E5" s="159"/>
      <c r="F5" s="26" t="s">
        <v>15</v>
      </c>
      <c r="G5" s="28" t="s">
        <v>273</v>
      </c>
      <c r="H5" s="30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3">
      <c r="A6" s="5"/>
      <c r="B6" s="156"/>
      <c r="C6" s="25" t="s">
        <v>28</v>
      </c>
      <c r="D6" s="159" t="s">
        <v>104</v>
      </c>
      <c r="E6" s="159"/>
      <c r="F6" s="26" t="s">
        <v>15</v>
      </c>
      <c r="G6" s="28" t="s">
        <v>274</v>
      </c>
      <c r="H6" s="30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3">
      <c r="A7" s="5"/>
      <c r="B7" s="156"/>
      <c r="C7" s="25" t="s">
        <v>29</v>
      </c>
      <c r="D7" s="159" t="s">
        <v>105</v>
      </c>
      <c r="E7" s="159"/>
      <c r="F7" s="26" t="s">
        <v>15</v>
      </c>
      <c r="G7" s="28" t="s">
        <v>275</v>
      </c>
      <c r="H7" s="30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24" x14ac:dyDescent="0.3">
      <c r="A8" s="5"/>
      <c r="B8" s="156"/>
      <c r="C8" s="25" t="s">
        <v>30</v>
      </c>
      <c r="D8" s="159" t="s">
        <v>106</v>
      </c>
      <c r="E8" s="159"/>
      <c r="F8" s="26" t="s">
        <v>16</v>
      </c>
      <c r="G8" s="28" t="s">
        <v>276</v>
      </c>
      <c r="H8" s="30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24" x14ac:dyDescent="0.3">
      <c r="A9" s="5"/>
      <c r="B9" s="156"/>
      <c r="C9" s="25" t="s">
        <v>31</v>
      </c>
      <c r="D9" s="159" t="s">
        <v>107</v>
      </c>
      <c r="E9" s="159"/>
      <c r="F9" s="26" t="s">
        <v>15</v>
      </c>
      <c r="G9" s="28" t="s">
        <v>277</v>
      </c>
      <c r="H9" s="30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3">
      <c r="A10" s="5"/>
      <c r="B10" s="156"/>
      <c r="C10" s="25" t="s">
        <v>32</v>
      </c>
      <c r="D10" s="159" t="s">
        <v>108</v>
      </c>
      <c r="E10" s="159"/>
      <c r="F10" s="26" t="s">
        <v>17</v>
      </c>
      <c r="G10" s="28" t="s">
        <v>279</v>
      </c>
      <c r="H10" s="30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3">
      <c r="A11" s="5"/>
      <c r="B11" s="156"/>
      <c r="C11" s="25" t="s">
        <v>33</v>
      </c>
      <c r="D11" s="159" t="s">
        <v>109</v>
      </c>
      <c r="E11" s="159"/>
      <c r="F11" s="26" t="s">
        <v>16</v>
      </c>
      <c r="G11" s="28" t="s">
        <v>280</v>
      </c>
      <c r="H11" s="30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3">
      <c r="A12" s="5"/>
      <c r="B12" s="156"/>
      <c r="C12" s="25" t="s">
        <v>34</v>
      </c>
      <c r="D12" s="159" t="s">
        <v>110</v>
      </c>
      <c r="E12" s="159"/>
      <c r="F12" s="26" t="s">
        <v>17</v>
      </c>
      <c r="G12" s="28" t="s">
        <v>281</v>
      </c>
      <c r="H12" s="30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3">
      <c r="A13" s="5"/>
      <c r="B13" s="156"/>
      <c r="C13" s="25" t="s">
        <v>35</v>
      </c>
      <c r="D13" s="159" t="s">
        <v>111</v>
      </c>
      <c r="E13" s="159"/>
      <c r="F13" s="26" t="s">
        <v>16</v>
      </c>
      <c r="G13" s="28" t="s">
        <v>282</v>
      </c>
      <c r="H13" s="30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x14ac:dyDescent="0.3">
      <c r="A14" s="5"/>
      <c r="B14" s="156"/>
      <c r="C14" s="25" t="s">
        <v>36</v>
      </c>
      <c r="D14" s="159" t="s">
        <v>113</v>
      </c>
      <c r="E14" s="159"/>
      <c r="F14" s="26" t="s">
        <v>17</v>
      </c>
      <c r="G14" s="28" t="s">
        <v>283</v>
      </c>
      <c r="H14" s="30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3">
      <c r="A15" s="5"/>
      <c r="B15" s="156"/>
      <c r="C15" s="25" t="s">
        <v>37</v>
      </c>
      <c r="D15" s="159" t="s">
        <v>115</v>
      </c>
      <c r="E15" s="159"/>
      <c r="F15" s="26" t="s">
        <v>17</v>
      </c>
      <c r="G15" s="28" t="s">
        <v>284</v>
      </c>
      <c r="H15" s="30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3">
      <c r="A16" s="5"/>
      <c r="B16" s="157"/>
      <c r="C16" s="31" t="s">
        <v>38</v>
      </c>
      <c r="D16" s="153" t="s">
        <v>116</v>
      </c>
      <c r="E16" s="153"/>
      <c r="F16" s="32" t="s">
        <v>16</v>
      </c>
      <c r="G16" s="33" t="s">
        <v>285</v>
      </c>
      <c r="H16" s="3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22" ht="36" x14ac:dyDescent="0.3">
      <c r="A17" s="5"/>
      <c r="B17" s="155" t="s">
        <v>18</v>
      </c>
      <c r="C17" s="18" t="s">
        <v>39</v>
      </c>
      <c r="D17" s="158" t="s">
        <v>117</v>
      </c>
      <c r="E17" s="158"/>
      <c r="F17" s="19" t="s">
        <v>15</v>
      </c>
      <c r="G17" s="21" t="s">
        <v>286</v>
      </c>
      <c r="H17" s="24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22" x14ac:dyDescent="0.3">
      <c r="A18" s="5"/>
      <c r="B18" s="156"/>
      <c r="C18" s="25" t="s">
        <v>40</v>
      </c>
      <c r="D18" s="159" t="s">
        <v>118</v>
      </c>
      <c r="E18" s="159"/>
      <c r="F18" s="26" t="s">
        <v>15</v>
      </c>
      <c r="G18" s="28" t="s">
        <v>287</v>
      </c>
      <c r="H18" s="30"/>
      <c r="I18" s="5"/>
      <c r="J18" s="5"/>
      <c r="K18" s="5"/>
      <c r="L18" s="5"/>
      <c r="M18" s="5"/>
      <c r="N18" s="5"/>
      <c r="O18" s="5"/>
      <c r="P18" s="5"/>
      <c r="Q18" s="5"/>
      <c r="R18" s="5"/>
      <c r="V18" t="s">
        <v>278</v>
      </c>
    </row>
    <row r="19" spans="1:22" x14ac:dyDescent="0.3">
      <c r="A19" s="5"/>
      <c r="B19" s="156"/>
      <c r="C19" s="25" t="s">
        <v>41</v>
      </c>
      <c r="D19" s="159" t="s">
        <v>119</v>
      </c>
      <c r="E19" s="159"/>
      <c r="F19" s="26" t="s">
        <v>15</v>
      </c>
      <c r="G19" s="28" t="s">
        <v>288</v>
      </c>
      <c r="H19" s="30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22" x14ac:dyDescent="0.3">
      <c r="A20" s="5"/>
      <c r="B20" s="156"/>
      <c r="C20" s="25" t="s">
        <v>42</v>
      </c>
      <c r="D20" s="159" t="s">
        <v>120</v>
      </c>
      <c r="E20" s="159"/>
      <c r="F20" s="26" t="s">
        <v>15</v>
      </c>
      <c r="G20" s="28" t="s">
        <v>289</v>
      </c>
      <c r="H20" s="30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22" x14ac:dyDescent="0.3">
      <c r="A21" s="5"/>
      <c r="B21" s="156"/>
      <c r="C21" s="25" t="s">
        <v>43</v>
      </c>
      <c r="D21" s="159" t="s">
        <v>121</v>
      </c>
      <c r="E21" s="159"/>
      <c r="F21" s="26" t="s">
        <v>15</v>
      </c>
      <c r="G21" s="28" t="s">
        <v>290</v>
      </c>
      <c r="H21" s="30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22" x14ac:dyDescent="0.3">
      <c r="A22" s="5"/>
      <c r="B22" s="156"/>
      <c r="C22" s="25" t="s">
        <v>44</v>
      </c>
      <c r="D22" s="159" t="s">
        <v>122</v>
      </c>
      <c r="E22" s="159"/>
      <c r="F22" s="26" t="s">
        <v>15</v>
      </c>
      <c r="G22" s="28" t="s">
        <v>291</v>
      </c>
      <c r="H22" s="30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22" x14ac:dyDescent="0.3">
      <c r="A23" s="5"/>
      <c r="B23" s="156"/>
      <c r="C23" s="25" t="s">
        <v>45</v>
      </c>
      <c r="D23" s="159" t="s">
        <v>123</v>
      </c>
      <c r="E23" s="159"/>
      <c r="F23" s="26" t="s">
        <v>15</v>
      </c>
      <c r="G23" s="28" t="s">
        <v>292</v>
      </c>
      <c r="H23" s="30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22" x14ac:dyDescent="0.3">
      <c r="A24" s="5"/>
      <c r="B24" s="156"/>
      <c r="C24" s="25" t="s">
        <v>46</v>
      </c>
      <c r="D24" s="159" t="s">
        <v>124</v>
      </c>
      <c r="E24" s="159"/>
      <c r="F24" s="26" t="s">
        <v>15</v>
      </c>
      <c r="G24" s="28" t="s">
        <v>293</v>
      </c>
      <c r="H24" s="30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22" x14ac:dyDescent="0.3">
      <c r="A25" s="5"/>
      <c r="B25" s="156"/>
      <c r="C25" s="25" t="s">
        <v>47</v>
      </c>
      <c r="D25" s="159" t="s">
        <v>125</v>
      </c>
      <c r="E25" s="159"/>
      <c r="F25" s="26" t="s">
        <v>15</v>
      </c>
      <c r="G25" s="28" t="s">
        <v>294</v>
      </c>
      <c r="H25" s="30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22" ht="36" x14ac:dyDescent="0.3">
      <c r="A26" s="5"/>
      <c r="B26" s="156"/>
      <c r="C26" s="25" t="s">
        <v>48</v>
      </c>
      <c r="D26" s="159" t="s">
        <v>126</v>
      </c>
      <c r="E26" s="159"/>
      <c r="F26" s="26" t="s">
        <v>15</v>
      </c>
      <c r="G26" s="28" t="s">
        <v>295</v>
      </c>
      <c r="H26" s="30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22" x14ac:dyDescent="0.3">
      <c r="A27" s="5"/>
      <c r="B27" s="156"/>
      <c r="C27" s="25" t="s">
        <v>49</v>
      </c>
      <c r="D27" s="159" t="s">
        <v>127</v>
      </c>
      <c r="E27" s="159"/>
      <c r="F27" s="26" t="s">
        <v>15</v>
      </c>
      <c r="G27" s="28" t="s">
        <v>296</v>
      </c>
      <c r="H27" s="30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22" x14ac:dyDescent="0.3">
      <c r="A28" s="5"/>
      <c r="B28" s="156"/>
      <c r="C28" s="25" t="s">
        <v>50</v>
      </c>
      <c r="D28" s="159" t="s">
        <v>128</v>
      </c>
      <c r="E28" s="159"/>
      <c r="F28" s="26" t="s">
        <v>15</v>
      </c>
      <c r="G28" s="28" t="s">
        <v>297</v>
      </c>
      <c r="H28" s="30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22" x14ac:dyDescent="0.3">
      <c r="A29" s="5"/>
      <c r="B29" s="156"/>
      <c r="C29" s="25" t="s">
        <v>51</v>
      </c>
      <c r="D29" s="159" t="s">
        <v>129</v>
      </c>
      <c r="E29" s="159"/>
      <c r="F29" s="26" t="s">
        <v>15</v>
      </c>
      <c r="G29" s="28" t="s">
        <v>298</v>
      </c>
      <c r="H29" s="30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22" x14ac:dyDescent="0.3">
      <c r="A30" s="5"/>
      <c r="B30" s="156"/>
      <c r="C30" s="25" t="s">
        <v>52</v>
      </c>
      <c r="D30" s="159" t="s">
        <v>130</v>
      </c>
      <c r="E30" s="159"/>
      <c r="F30" s="26" t="s">
        <v>15</v>
      </c>
      <c r="G30" s="28" t="s">
        <v>299</v>
      </c>
      <c r="H30" s="30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22" ht="24" x14ac:dyDescent="0.3">
      <c r="A31" s="5"/>
      <c r="B31" s="156"/>
      <c r="C31" s="25" t="s">
        <v>53</v>
      </c>
      <c r="D31" s="159" t="s">
        <v>131</v>
      </c>
      <c r="E31" s="159"/>
      <c r="F31" s="26" t="s">
        <v>15</v>
      </c>
      <c r="G31" s="28" t="s">
        <v>300</v>
      </c>
      <c r="H31" s="30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22" x14ac:dyDescent="0.3">
      <c r="A32" s="5"/>
      <c r="B32" s="156"/>
      <c r="C32" s="25" t="s">
        <v>54</v>
      </c>
      <c r="D32" s="159" t="s">
        <v>132</v>
      </c>
      <c r="E32" s="159"/>
      <c r="F32" s="26" t="s">
        <v>17</v>
      </c>
      <c r="G32" s="28" t="s">
        <v>301</v>
      </c>
      <c r="H32" s="30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x14ac:dyDescent="0.3">
      <c r="A33" s="5"/>
      <c r="B33" s="156"/>
      <c r="C33" s="25" t="s">
        <v>55</v>
      </c>
      <c r="D33" s="159" t="s">
        <v>133</v>
      </c>
      <c r="E33" s="159"/>
      <c r="F33" s="26" t="s">
        <v>16</v>
      </c>
      <c r="G33" s="28" t="s">
        <v>302</v>
      </c>
      <c r="H33" s="30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ht="48" x14ac:dyDescent="0.3">
      <c r="A34" s="5"/>
      <c r="B34" s="156"/>
      <c r="C34" s="25" t="s">
        <v>56</v>
      </c>
      <c r="D34" s="159" t="s">
        <v>134</v>
      </c>
      <c r="E34" s="159"/>
      <c r="F34" s="26" t="s">
        <v>16</v>
      </c>
      <c r="G34" s="28" t="s">
        <v>303</v>
      </c>
      <c r="H34" s="30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x14ac:dyDescent="0.3">
      <c r="A35" s="5"/>
      <c r="B35" s="156"/>
      <c r="C35" s="25" t="s">
        <v>57</v>
      </c>
      <c r="D35" s="159" t="s">
        <v>135</v>
      </c>
      <c r="E35" s="159"/>
      <c r="F35" s="26" t="s">
        <v>16</v>
      </c>
      <c r="G35" s="28" t="s">
        <v>304</v>
      </c>
      <c r="H35" s="30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x14ac:dyDescent="0.3">
      <c r="A36" s="5"/>
      <c r="B36" s="157"/>
      <c r="C36" s="31" t="s">
        <v>58</v>
      </c>
      <c r="D36" s="153" t="s">
        <v>136</v>
      </c>
      <c r="E36" s="153"/>
      <c r="F36" s="32" t="s">
        <v>17</v>
      </c>
      <c r="G36" s="33" t="s">
        <v>305</v>
      </c>
      <c r="H36" s="3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x14ac:dyDescent="0.3">
      <c r="A37" s="5"/>
      <c r="B37" s="155" t="s">
        <v>19</v>
      </c>
      <c r="C37" s="18" t="s">
        <v>59</v>
      </c>
      <c r="D37" s="158" t="s">
        <v>137</v>
      </c>
      <c r="E37" s="158"/>
      <c r="F37" s="19" t="s">
        <v>15</v>
      </c>
      <c r="G37" s="21" t="s">
        <v>306</v>
      </c>
      <c r="H37" s="24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 x14ac:dyDescent="0.3">
      <c r="A38" s="5"/>
      <c r="B38" s="156"/>
      <c r="C38" s="25" t="s">
        <v>60</v>
      </c>
      <c r="D38" s="159" t="s">
        <v>138</v>
      </c>
      <c r="E38" s="159"/>
      <c r="F38" s="26" t="s">
        <v>15</v>
      </c>
      <c r="G38" s="28" t="s">
        <v>307</v>
      </c>
      <c r="H38" s="30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x14ac:dyDescent="0.3">
      <c r="A39" s="5"/>
      <c r="B39" s="156"/>
      <c r="C39" s="25" t="s">
        <v>61</v>
      </c>
      <c r="D39" s="159" t="s">
        <v>139</v>
      </c>
      <c r="E39" s="159"/>
      <c r="F39" s="26" t="s">
        <v>15</v>
      </c>
      <c r="G39" s="28" t="s">
        <v>308</v>
      </c>
      <c r="H39" s="30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ht="24" x14ac:dyDescent="0.3">
      <c r="A40" s="5"/>
      <c r="B40" s="156"/>
      <c r="C40" s="25" t="s">
        <v>62</v>
      </c>
      <c r="D40" s="159" t="s">
        <v>140</v>
      </c>
      <c r="E40" s="159"/>
      <c r="F40" s="26" t="s">
        <v>15</v>
      </c>
      <c r="G40" s="28" t="s">
        <v>309</v>
      </c>
      <c r="H40" s="30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x14ac:dyDescent="0.3">
      <c r="A41" s="5"/>
      <c r="B41" s="156"/>
      <c r="C41" s="25" t="s">
        <v>63</v>
      </c>
      <c r="D41" s="159" t="s">
        <v>141</v>
      </c>
      <c r="E41" s="159"/>
      <c r="F41" s="26" t="s">
        <v>15</v>
      </c>
      <c r="G41" s="28" t="s">
        <v>310</v>
      </c>
      <c r="H41" s="30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x14ac:dyDescent="0.3">
      <c r="A42" s="5"/>
      <c r="B42" s="156"/>
      <c r="C42" s="25" t="s">
        <v>64</v>
      </c>
      <c r="D42" s="159" t="s">
        <v>142</v>
      </c>
      <c r="E42" s="159"/>
      <c r="F42" s="26" t="s">
        <v>15</v>
      </c>
      <c r="G42" s="28" t="s">
        <v>311</v>
      </c>
      <c r="H42" s="30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ht="24" x14ac:dyDescent="0.3">
      <c r="A43" s="5"/>
      <c r="B43" s="156"/>
      <c r="C43" s="25" t="s">
        <v>65</v>
      </c>
      <c r="D43" s="159" t="s">
        <v>144</v>
      </c>
      <c r="E43" s="159"/>
      <c r="F43" s="26" t="s">
        <v>15</v>
      </c>
      <c r="G43" s="28" t="s">
        <v>312</v>
      </c>
      <c r="H43" s="30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x14ac:dyDescent="0.3">
      <c r="A44" s="5"/>
      <c r="B44" s="156"/>
      <c r="C44" s="25" t="s">
        <v>66</v>
      </c>
      <c r="D44" s="159" t="s">
        <v>145</v>
      </c>
      <c r="E44" s="159"/>
      <c r="F44" s="26" t="s">
        <v>15</v>
      </c>
      <c r="G44" s="28" t="s">
        <v>313</v>
      </c>
      <c r="H44" s="30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x14ac:dyDescent="0.3">
      <c r="A45" s="5"/>
      <c r="B45" s="156"/>
      <c r="C45" s="25" t="s">
        <v>67</v>
      </c>
      <c r="D45" s="159" t="s">
        <v>146</v>
      </c>
      <c r="E45" s="159"/>
      <c r="F45" s="26" t="s">
        <v>15</v>
      </c>
      <c r="G45" s="28" t="s">
        <v>314</v>
      </c>
      <c r="H45" s="30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x14ac:dyDescent="0.3">
      <c r="A46" s="5"/>
      <c r="B46" s="156"/>
      <c r="C46" s="25" t="s">
        <v>68</v>
      </c>
      <c r="D46" s="159" t="s">
        <v>147</v>
      </c>
      <c r="E46" s="159"/>
      <c r="F46" s="26" t="s">
        <v>15</v>
      </c>
      <c r="G46" s="28" t="s">
        <v>315</v>
      </c>
      <c r="H46" s="30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x14ac:dyDescent="0.3">
      <c r="A47" s="5"/>
      <c r="B47" s="156"/>
      <c r="C47" s="25" t="s">
        <v>69</v>
      </c>
      <c r="D47" s="159" t="s">
        <v>148</v>
      </c>
      <c r="E47" s="159"/>
      <c r="F47" s="26" t="s">
        <v>15</v>
      </c>
      <c r="G47" s="28" t="s">
        <v>316</v>
      </c>
      <c r="H47" s="30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ht="24" x14ac:dyDescent="0.3">
      <c r="A48" s="5"/>
      <c r="B48" s="156"/>
      <c r="C48" s="25" t="s">
        <v>70</v>
      </c>
      <c r="D48" s="159" t="s">
        <v>149</v>
      </c>
      <c r="E48" s="159"/>
      <c r="F48" s="26" t="s">
        <v>15</v>
      </c>
      <c r="G48" s="28" t="s">
        <v>317</v>
      </c>
      <c r="H48" s="30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ht="24" x14ac:dyDescent="0.3">
      <c r="A49" s="5"/>
      <c r="B49" s="156"/>
      <c r="C49" s="25" t="s">
        <v>71</v>
      </c>
      <c r="D49" s="159" t="s">
        <v>151</v>
      </c>
      <c r="E49" s="159"/>
      <c r="F49" s="26" t="s">
        <v>15</v>
      </c>
      <c r="G49" s="28" t="s">
        <v>318</v>
      </c>
      <c r="H49" s="30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ht="24" x14ac:dyDescent="0.3">
      <c r="A50" s="5"/>
      <c r="B50" s="156"/>
      <c r="C50" s="25" t="s">
        <v>72</v>
      </c>
      <c r="D50" s="159" t="s">
        <v>152</v>
      </c>
      <c r="E50" s="159"/>
      <c r="F50" s="26" t="s">
        <v>15</v>
      </c>
      <c r="G50" s="28" t="s">
        <v>319</v>
      </c>
      <c r="H50" s="30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ht="24" x14ac:dyDescent="0.3">
      <c r="A51" s="5"/>
      <c r="B51" s="156"/>
      <c r="C51" s="25" t="s">
        <v>73</v>
      </c>
      <c r="D51" s="159" t="s">
        <v>153</v>
      </c>
      <c r="E51" s="159"/>
      <c r="F51" s="26" t="s">
        <v>16</v>
      </c>
      <c r="G51" s="28" t="s">
        <v>320</v>
      </c>
      <c r="H51" s="30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ht="24" x14ac:dyDescent="0.3">
      <c r="A52" s="5"/>
      <c r="B52" s="156"/>
      <c r="C52" s="25" t="s">
        <v>74</v>
      </c>
      <c r="D52" s="159" t="s">
        <v>155</v>
      </c>
      <c r="E52" s="159"/>
      <c r="F52" s="26" t="s">
        <v>15</v>
      </c>
      <c r="G52" s="28" t="s">
        <v>321</v>
      </c>
      <c r="H52" s="30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ht="24" x14ac:dyDescent="0.3">
      <c r="A53" s="5"/>
      <c r="B53" s="156"/>
      <c r="C53" s="25" t="s">
        <v>75</v>
      </c>
      <c r="D53" s="159" t="s">
        <v>157</v>
      </c>
      <c r="E53" s="159"/>
      <c r="F53" s="26" t="s">
        <v>15</v>
      </c>
      <c r="G53" s="28" t="s">
        <v>322</v>
      </c>
      <c r="H53" s="30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ht="24" x14ac:dyDescent="0.3">
      <c r="A54" s="5"/>
      <c r="B54" s="156"/>
      <c r="C54" s="25" t="s">
        <v>76</v>
      </c>
      <c r="D54" s="159" t="s">
        <v>159</v>
      </c>
      <c r="E54" s="159"/>
      <c r="F54" s="26" t="s">
        <v>16</v>
      </c>
      <c r="G54" s="28" t="s">
        <v>323</v>
      </c>
      <c r="H54" s="30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x14ac:dyDescent="0.3">
      <c r="A55" s="5"/>
      <c r="B55" s="156"/>
      <c r="C55" s="25" t="s">
        <v>77</v>
      </c>
      <c r="D55" s="159" t="s">
        <v>160</v>
      </c>
      <c r="E55" s="159"/>
      <c r="F55" s="26" t="s">
        <v>16</v>
      </c>
      <c r="G55" s="28" t="s">
        <v>324</v>
      </c>
      <c r="H55" s="30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ht="24" x14ac:dyDescent="0.3">
      <c r="A56" s="5"/>
      <c r="B56" s="156"/>
      <c r="C56" s="25" t="s">
        <v>78</v>
      </c>
      <c r="D56" s="159" t="s">
        <v>161</v>
      </c>
      <c r="E56" s="159"/>
      <c r="F56" s="26" t="s">
        <v>17</v>
      </c>
      <c r="G56" s="28" t="s">
        <v>325</v>
      </c>
      <c r="H56" s="30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x14ac:dyDescent="0.3">
      <c r="A57" s="5"/>
      <c r="B57" s="156"/>
      <c r="C57" s="25" t="s">
        <v>79</v>
      </c>
      <c r="D57" s="159" t="s">
        <v>162</v>
      </c>
      <c r="E57" s="159"/>
      <c r="F57" s="26" t="s">
        <v>16</v>
      </c>
      <c r="G57" s="28" t="s">
        <v>326</v>
      </c>
      <c r="H57" s="30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ht="24" x14ac:dyDescent="0.3">
      <c r="A58" s="5"/>
      <c r="B58" s="156"/>
      <c r="C58" s="25" t="s">
        <v>80</v>
      </c>
      <c r="D58" s="159" t="s">
        <v>163</v>
      </c>
      <c r="E58" s="159"/>
      <c r="F58" s="26" t="s">
        <v>16</v>
      </c>
      <c r="G58" s="28" t="s">
        <v>327</v>
      </c>
      <c r="H58" s="30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ht="24" x14ac:dyDescent="0.3">
      <c r="A59" s="5"/>
      <c r="B59" s="156"/>
      <c r="C59" s="25" t="s">
        <v>81</v>
      </c>
      <c r="D59" s="159" t="s">
        <v>165</v>
      </c>
      <c r="E59" s="159"/>
      <c r="F59" s="26" t="s">
        <v>17</v>
      </c>
      <c r="G59" s="28" t="s">
        <v>328</v>
      </c>
      <c r="H59" s="30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ht="24" x14ac:dyDescent="0.3">
      <c r="A60" s="5"/>
      <c r="B60" s="156"/>
      <c r="C60" s="25" t="s">
        <v>82</v>
      </c>
      <c r="D60" s="159" t="s">
        <v>167</v>
      </c>
      <c r="E60" s="159"/>
      <c r="F60" s="26" t="s">
        <v>16</v>
      </c>
      <c r="G60" s="28" t="s">
        <v>329</v>
      </c>
      <c r="H60" s="30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x14ac:dyDescent="0.3">
      <c r="A61" s="5"/>
      <c r="B61" s="156"/>
      <c r="C61" s="25" t="s">
        <v>83</v>
      </c>
      <c r="D61" s="159" t="s">
        <v>168</v>
      </c>
      <c r="E61" s="159"/>
      <c r="F61" s="26" t="s">
        <v>16</v>
      </c>
      <c r="G61" s="28" t="s">
        <v>330</v>
      </c>
      <c r="H61" s="30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ht="24" x14ac:dyDescent="0.3">
      <c r="A62" s="5"/>
      <c r="B62" s="156"/>
      <c r="C62" s="25" t="s">
        <v>84</v>
      </c>
      <c r="D62" s="159" t="s">
        <v>170</v>
      </c>
      <c r="E62" s="159"/>
      <c r="F62" s="26" t="s">
        <v>15</v>
      </c>
      <c r="G62" s="28" t="s">
        <v>331</v>
      </c>
      <c r="H62" s="30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ht="36" x14ac:dyDescent="0.3">
      <c r="A63" s="5"/>
      <c r="B63" s="156"/>
      <c r="C63" s="25" t="s">
        <v>85</v>
      </c>
      <c r="D63" s="159" t="s">
        <v>172</v>
      </c>
      <c r="E63" s="159"/>
      <c r="F63" s="26" t="s">
        <v>16</v>
      </c>
      <c r="G63" s="28" t="s">
        <v>332</v>
      </c>
      <c r="H63" s="30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ht="24" x14ac:dyDescent="0.3">
      <c r="A64" s="5"/>
      <c r="B64" s="156"/>
      <c r="C64" s="25" t="s">
        <v>86</v>
      </c>
      <c r="D64" s="159" t="s">
        <v>173</v>
      </c>
      <c r="E64" s="159"/>
      <c r="F64" s="26" t="s">
        <v>15</v>
      </c>
      <c r="G64" s="28" t="s">
        <v>333</v>
      </c>
      <c r="H64" s="30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ht="24" x14ac:dyDescent="0.3">
      <c r="A65" s="5"/>
      <c r="B65" s="156"/>
      <c r="C65" s="25" t="s">
        <v>87</v>
      </c>
      <c r="D65" s="159" t="s">
        <v>174</v>
      </c>
      <c r="E65" s="159"/>
      <c r="F65" s="26" t="s">
        <v>17</v>
      </c>
      <c r="G65" s="28" t="s">
        <v>334</v>
      </c>
      <c r="H65" s="30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x14ac:dyDescent="0.3">
      <c r="A66" s="5"/>
      <c r="B66" s="157"/>
      <c r="C66" s="31" t="s">
        <v>88</v>
      </c>
      <c r="D66" s="153" t="s">
        <v>175</v>
      </c>
      <c r="E66" s="153"/>
      <c r="F66" s="32" t="s">
        <v>16</v>
      </c>
      <c r="G66" s="33" t="s">
        <v>335</v>
      </c>
      <c r="H66" s="3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ht="24" x14ac:dyDescent="0.3">
      <c r="A67" s="5"/>
      <c r="B67" s="15" t="s">
        <v>20</v>
      </c>
      <c r="C67" s="13" t="s">
        <v>89</v>
      </c>
      <c r="D67" s="154" t="s">
        <v>176</v>
      </c>
      <c r="E67" s="154"/>
      <c r="F67" s="14" t="s">
        <v>15</v>
      </c>
      <c r="G67" s="42" t="s">
        <v>336</v>
      </c>
      <c r="H67" s="43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x14ac:dyDescent="0.3">
      <c r="A68" s="5"/>
      <c r="B68" s="155" t="s">
        <v>21</v>
      </c>
      <c r="C68" s="18" t="s">
        <v>90</v>
      </c>
      <c r="D68" s="158" t="s">
        <v>177</v>
      </c>
      <c r="E68" s="158"/>
      <c r="F68" s="19" t="s">
        <v>16</v>
      </c>
      <c r="G68" s="21" t="s">
        <v>337</v>
      </c>
      <c r="H68" s="24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x14ac:dyDescent="0.3">
      <c r="A69" s="5"/>
      <c r="B69" s="156"/>
      <c r="C69" s="25" t="s">
        <v>91</v>
      </c>
      <c r="D69" s="159" t="s">
        <v>178</v>
      </c>
      <c r="E69" s="159"/>
      <c r="F69" s="26" t="s">
        <v>16</v>
      </c>
      <c r="G69" s="28" t="s">
        <v>338</v>
      </c>
      <c r="H69" s="30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x14ac:dyDescent="0.3">
      <c r="A70" s="5"/>
      <c r="B70" s="157"/>
      <c r="C70" s="31" t="s">
        <v>92</v>
      </c>
      <c r="D70" s="153" t="s">
        <v>179</v>
      </c>
      <c r="E70" s="153"/>
      <c r="F70" s="32" t="s">
        <v>16</v>
      </c>
      <c r="G70" s="33" t="s">
        <v>339</v>
      </c>
      <c r="H70" s="3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</sheetData>
  <mergeCells count="72">
    <mergeCell ref="D3:E3"/>
    <mergeCell ref="B4:B16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32:E32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3:E33"/>
    <mergeCell ref="D34:E34"/>
    <mergeCell ref="D35:E35"/>
    <mergeCell ref="D36:E36"/>
    <mergeCell ref="B37:B66"/>
    <mergeCell ref="D37:E37"/>
    <mergeCell ref="D38:E38"/>
    <mergeCell ref="D39:E39"/>
    <mergeCell ref="D40:E40"/>
    <mergeCell ref="D41:E41"/>
    <mergeCell ref="B17:B36"/>
    <mergeCell ref="D17:E17"/>
    <mergeCell ref="D18:E18"/>
    <mergeCell ref="D19:E19"/>
    <mergeCell ref="D20:E20"/>
    <mergeCell ref="D53:E53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65:E65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6:E66"/>
    <mergeCell ref="D67:E67"/>
    <mergeCell ref="B68:B70"/>
    <mergeCell ref="D68:E68"/>
    <mergeCell ref="D69:E69"/>
    <mergeCell ref="D70:E70"/>
  </mergeCells>
  <phoneticPr fontId="1" type="noConversion"/>
  <conditionalFormatting sqref="F4:H70">
    <cfRule type="expression" dxfId="13" priority="6">
      <formula>#REF!="N/A"</formula>
    </cfRule>
    <cfRule type="expression" dxfId="12" priority="7">
      <formula>#REF!="수동점검"</formula>
    </cfRule>
    <cfRule type="expression" dxfId="11" priority="8">
      <formula>#REF!="취약"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0496-BE76-4385-AF56-661A2984B40C}">
  <sheetPr codeName="Sheet5">
    <tabColor theme="3" tint="0.89999084444715716"/>
  </sheetPr>
  <dimension ref="A1:Z41"/>
  <sheetViews>
    <sheetView tabSelected="1" view="pageBreakPreview" zoomScaleNormal="100" zoomScaleSheetLayoutView="100" zoomScalePageLayoutView="75" workbookViewId="0">
      <selection activeCell="A7" sqref="A7:N9"/>
    </sheetView>
  </sheetViews>
  <sheetFormatPr defaultRowHeight="16.5" x14ac:dyDescent="0.3"/>
  <cols>
    <col min="1" max="26" width="4.625" customWidth="1"/>
  </cols>
  <sheetData>
    <row r="1" spans="1:26" ht="14.1" customHeight="1" x14ac:dyDescent="0.3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4.1" customHeight="1" x14ac:dyDescent="0.3">
      <c r="A2" s="6" t="s">
        <v>358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1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1" customHeight="1" x14ac:dyDescent="0.3">
      <c r="A4" s="1"/>
      <c r="B4" s="123" t="s">
        <v>347</v>
      </c>
      <c r="D4" s="124"/>
      <c r="E4" s="124"/>
      <c r="F4" s="124"/>
      <c r="G4" s="124"/>
      <c r="H4" s="124"/>
      <c r="I4" s="124"/>
      <c r="J4" s="124"/>
      <c r="K4" s="124"/>
      <c r="L4" s="12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1" customHeight="1" x14ac:dyDescent="0.3">
      <c r="A5" s="1"/>
      <c r="B5" s="1"/>
      <c r="C5" s="124"/>
      <c r="D5" s="124"/>
      <c r="E5" s="124"/>
      <c r="F5" s="124"/>
      <c r="G5" s="125"/>
      <c r="H5" s="125"/>
      <c r="I5" s="125"/>
      <c r="J5" s="125"/>
      <c r="K5" s="124"/>
      <c r="L5" s="12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1" customHeight="1" x14ac:dyDescent="0.3">
      <c r="A6" s="1"/>
      <c r="B6" s="1"/>
      <c r="C6" s="128" t="str">
        <f>'Ⅰ. 표지'!A7 &amp; " 서버(LINUX/UNIX)의 보안점검 결과 전체 점검항목중에서 " &amp; 'Ⅳ. 보안점검 결과'!F72 &amp; "개(상 " &amp; 'Ⅳ. 보안점검 결과'!F73 &amp;"개, 중 " &amp; 'Ⅳ. 보안점검 결과'!F74 &amp;"개, 하 " &amp; 'Ⅳ. 보안점검 결과'!F75 &amp;"개)의 취약점이 발견되었습니다."</f>
        <v>업체명 서버(LINUX/UNIX)의 보안점검 결과 전체 점검항목중에서 0개(상 0개, 중 0개, 하 0개)의 취약점이 발견되었습니다.</v>
      </c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"/>
      <c r="Z6" s="1"/>
    </row>
    <row r="7" spans="1:26" ht="14.1" customHeight="1" x14ac:dyDescent="0.3">
      <c r="A7" s="1"/>
      <c r="B7" s="1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"/>
      <c r="Z7" s="1"/>
    </row>
    <row r="8" spans="1:26" ht="14.1" customHeight="1" x14ac:dyDescent="0.3">
      <c r="A8" s="1"/>
      <c r="B8" s="1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1" customHeight="1" x14ac:dyDescent="0.3">
      <c r="A9" s="1"/>
      <c r="B9" s="1"/>
      <c r="C9" s="129" t="str">
        <f>"취약점 분석 평가 점수가 가장 낮은 대상은 '" &amp; IFERROR(INDEX('Ⅳ. 보안점검 결과'!G4:XFD4, MATCH(MIN('Ⅳ. 보안점검 결과'!G76:XFD76), 'Ⅳ. 보안점검 결과'!G76:XFD76, 0)), "서버이름") &amp; "' 입니다. 전체 대상의 취약점 분석 평가 평균 점수는 " &amp; IFERROR(ROUND(AVERAGE('Ⅳ. 보안점검 결과'!G76:XFD76)*100, 1), "00") &amp; "점 입니다."</f>
        <v>취약점 분석 평가 점수가 가장 낮은 대상은 '서버이름' 입니다. 전체 대상의 취약점 분석 평가 평균 점수는 00점 입니다.</v>
      </c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"/>
      <c r="Z9" s="1"/>
    </row>
    <row r="10" spans="1:26" x14ac:dyDescent="0.3">
      <c r="A10" s="1"/>
      <c r="B10" s="1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"/>
      <c r="Z10" s="1"/>
    </row>
    <row r="11" spans="1:26" ht="14.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1" customHeight="1" x14ac:dyDescent="0.3">
      <c r="A13" s="1"/>
      <c r="B13" s="1"/>
      <c r="C13" s="127" t="s">
        <v>348</v>
      </c>
      <c r="D13" s="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127" t="s">
        <v>349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4.1" customHeight="1" x14ac:dyDescent="0.3">
      <c r="A14" s="1"/>
      <c r="B14" s="1"/>
      <c r="D14" s="12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1" customHeight="1" x14ac:dyDescent="0.3">
      <c r="A15" s="1"/>
      <c r="B15" s="1"/>
      <c r="C15" s="124"/>
      <c r="D15" s="12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1" customHeight="1" x14ac:dyDescent="0.3">
      <c r="A17" s="1"/>
      <c r="B17" s="12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1" customHeight="1" x14ac:dyDescent="0.3">
      <c r="A18" s="1"/>
      <c r="B18" s="12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1" customHeight="1" x14ac:dyDescent="0.3">
      <c r="A19" s="1"/>
      <c r="B19" s="124"/>
      <c r="C19" s="1"/>
      <c r="D19" s="1"/>
      <c r="E19" s="1"/>
      <c r="F19" s="1"/>
      <c r="G19" s="1"/>
      <c r="H19" s="1"/>
      <c r="I19" s="1" t="s">
        <v>278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1" customHeight="1" x14ac:dyDescent="0.3">
      <c r="A20" s="1"/>
      <c r="B20" s="124"/>
      <c r="C20" s="1"/>
      <c r="D20" s="1"/>
      <c r="E20" s="1"/>
      <c r="F20" s="1"/>
      <c r="G20" s="1"/>
      <c r="H20" s="1"/>
      <c r="I20" s="124"/>
      <c r="J20" s="124"/>
      <c r="K20" s="1"/>
      <c r="L20" s="12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1" customHeight="1" x14ac:dyDescent="0.3">
      <c r="A21" s="1"/>
      <c r="B21" s="124"/>
      <c r="C21" s="1"/>
      <c r="D21" s="1"/>
      <c r="E21" s="1"/>
      <c r="F21" s="1"/>
      <c r="G21" s="1"/>
      <c r="H21" s="1"/>
      <c r="I21" s="124"/>
      <c r="J21" s="124"/>
      <c r="K21" s="1"/>
      <c r="L21" s="12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1" customHeight="1" x14ac:dyDescent="0.3">
      <c r="A22" s="1"/>
      <c r="B22" s="124"/>
      <c r="C22" s="1"/>
      <c r="D22" s="1"/>
      <c r="E22" s="1"/>
      <c r="F22" s="1"/>
      <c r="G22" s="1"/>
      <c r="H22" s="1"/>
      <c r="I22" s="124"/>
      <c r="J22" s="124"/>
      <c r="K22" s="1"/>
      <c r="L22" s="12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1" customHeight="1" x14ac:dyDescent="0.3">
      <c r="A23" s="1"/>
      <c r="B23" s="124"/>
      <c r="C23" s="1"/>
      <c r="D23" s="1"/>
      <c r="E23" s="1"/>
      <c r="F23" s="1"/>
      <c r="G23" s="1"/>
      <c r="H23" s="1"/>
      <c r="I23" s="124"/>
      <c r="J23" s="124"/>
      <c r="K23" s="1"/>
      <c r="L23" s="12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1" customHeight="1" x14ac:dyDescent="0.3">
      <c r="A24" s="1"/>
      <c r="B24" s="124"/>
      <c r="C24" s="1"/>
      <c r="D24" s="1"/>
      <c r="E24" s="1"/>
      <c r="F24" s="1"/>
      <c r="G24" s="1"/>
      <c r="H24" s="1"/>
      <c r="I24" s="124"/>
      <c r="J24" s="124"/>
      <c r="K24" s="1"/>
      <c r="L24" s="12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1" customHeight="1" x14ac:dyDescent="0.3">
      <c r="A25" s="1"/>
      <c r="B25" s="124"/>
      <c r="C25" s="1"/>
      <c r="D25" s="1"/>
      <c r="E25" s="1"/>
      <c r="F25" s="1"/>
      <c r="G25" s="1"/>
      <c r="H25" s="1"/>
      <c r="I25" s="124"/>
      <c r="J25" s="124"/>
      <c r="K25" s="1"/>
      <c r="L25" s="12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1" customHeight="1" x14ac:dyDescent="0.3">
      <c r="A26" s="1"/>
      <c r="B26" s="124"/>
      <c r="C26" s="1"/>
      <c r="D26" s="1"/>
      <c r="E26" s="1"/>
      <c r="F26" s="1"/>
      <c r="G26" s="1"/>
      <c r="H26" s="1"/>
      <c r="I26" s="124"/>
      <c r="J26" s="124"/>
      <c r="K26" s="1"/>
      <c r="L26" s="12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1" customHeight="1" x14ac:dyDescent="0.3">
      <c r="A27" s="1"/>
      <c r="B27" s="124"/>
      <c r="C27" s="1"/>
      <c r="D27" s="1"/>
      <c r="E27" s="1"/>
      <c r="F27" s="1"/>
      <c r="G27" s="1"/>
      <c r="H27" s="1"/>
      <c r="I27" s="124"/>
      <c r="J27" s="1"/>
      <c r="K27" s="1"/>
      <c r="L27" s="12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1" customHeight="1" x14ac:dyDescent="0.3">
      <c r="A28" s="1"/>
      <c r="B28" s="124"/>
      <c r="C28" s="1"/>
      <c r="D28" s="1"/>
      <c r="E28" s="1"/>
      <c r="F28" s="1"/>
      <c r="G28" s="1"/>
      <c r="H28" s="1"/>
      <c r="I28" s="124"/>
      <c r="J28" s="12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1" customHeight="1" x14ac:dyDescent="0.3">
      <c r="A29" s="1"/>
      <c r="B29" s="1"/>
      <c r="C29" s="1"/>
      <c r="D29" s="1"/>
      <c r="E29" s="1"/>
      <c r="F29" s="1"/>
      <c r="G29" s="1"/>
      <c r="H29" s="1"/>
      <c r="I29" s="124"/>
      <c r="J29" s="124"/>
      <c r="K29" s="12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1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1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1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1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1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1" customHeight="1" x14ac:dyDescent="0.3"/>
    <row r="36" spans="1:26" ht="14.1" customHeight="1" x14ac:dyDescent="0.3"/>
    <row r="37" spans="1:26" ht="14.1" customHeight="1" x14ac:dyDescent="0.3"/>
    <row r="38" spans="1:26" ht="14.1" customHeight="1" x14ac:dyDescent="0.3"/>
    <row r="39" spans="1:26" ht="14.1" customHeight="1" x14ac:dyDescent="0.3"/>
    <row r="40" spans="1:26" ht="14.1" customHeight="1" x14ac:dyDescent="0.3"/>
    <row r="41" spans="1:26" ht="14.1" customHeight="1" x14ac:dyDescent="0.3"/>
  </sheetData>
  <mergeCells count="2">
    <mergeCell ref="C6:X7"/>
    <mergeCell ref="C9:X1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0" fitToWidth="0" fitToHeight="0" orientation="landscape" r:id="rId1"/>
  <headerFooter>
    <oddHeader>&amp;L&amp;G&amp;C대구미래교육연구원 주요정보통신기반시설
서버(UNIX) 이행점검 상세 결과보고서</oddHeader>
    <oddFooter>&amp;L&amp;G&amp;R&amp;K04+000| &amp;P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FCAC-B6CA-4BD9-886F-8EBD84453325}">
  <sheetPr>
    <tabColor theme="3" tint="0.89999084444715716"/>
  </sheetPr>
  <dimension ref="A1:F79"/>
  <sheetViews>
    <sheetView tabSelected="1" zoomScaleNormal="100" workbookViewId="0">
      <selection activeCell="A7" sqref="A7:N9"/>
    </sheetView>
  </sheetViews>
  <sheetFormatPr defaultRowHeight="16.5" x14ac:dyDescent="0.3"/>
  <cols>
    <col min="1" max="1" width="4.625" style="76" customWidth="1"/>
    <col min="2" max="2" width="9.625" style="76" customWidth="1"/>
    <col min="3" max="3" width="4.625" style="76" customWidth="1"/>
    <col min="4" max="4" width="46.5" style="85" customWidth="1"/>
    <col min="5" max="5" width="6.75" style="76" customWidth="1"/>
    <col min="6" max="6" width="5.625" style="85" customWidth="1"/>
  </cols>
  <sheetData>
    <row r="1" spans="1:6" x14ac:dyDescent="0.3">
      <c r="A1" s="73"/>
      <c r="B1" s="73"/>
      <c r="C1" s="73"/>
      <c r="D1" s="74"/>
      <c r="E1" s="73"/>
      <c r="F1" s="74"/>
    </row>
    <row r="2" spans="1:6" ht="17.25" x14ac:dyDescent="0.3">
      <c r="A2" s="75" t="s">
        <v>359</v>
      </c>
      <c r="C2" s="77"/>
      <c r="D2" s="78"/>
      <c r="E2" s="77"/>
      <c r="F2" s="1"/>
    </row>
    <row r="3" spans="1:6" x14ac:dyDescent="0.3">
      <c r="A3" s="79"/>
      <c r="B3" s="80"/>
      <c r="C3" s="80"/>
      <c r="D3" s="81"/>
      <c r="E3" s="80"/>
      <c r="F3" s="1"/>
    </row>
    <row r="4" spans="1:6" ht="22.5" x14ac:dyDescent="0.3">
      <c r="A4" s="82"/>
      <c r="B4" s="83" t="s">
        <v>267</v>
      </c>
      <c r="C4" s="83" t="s">
        <v>11</v>
      </c>
      <c r="D4" s="83" t="s">
        <v>12</v>
      </c>
      <c r="E4" s="83" t="s">
        <v>13</v>
      </c>
      <c r="F4" s="84" t="s">
        <v>268</v>
      </c>
    </row>
    <row r="5" spans="1:6" s="122" customFormat="1" ht="11.1" customHeight="1" x14ac:dyDescent="0.3">
      <c r="A5" s="76"/>
      <c r="B5" s="150" t="s">
        <v>14</v>
      </c>
      <c r="C5" s="86" t="s">
        <v>26</v>
      </c>
      <c r="D5" s="94" t="s">
        <v>99</v>
      </c>
      <c r="E5" s="95" t="s">
        <v>15</v>
      </c>
      <c r="F5" s="100">
        <f>COUNTIF(G5:XFD5,"취약")</f>
        <v>0</v>
      </c>
    </row>
    <row r="6" spans="1:6" s="122" customFormat="1" ht="11.1" customHeight="1" x14ac:dyDescent="0.3">
      <c r="A6" s="76"/>
      <c r="B6" s="151"/>
      <c r="C6" s="87" t="s">
        <v>27</v>
      </c>
      <c r="D6" s="91" t="s">
        <v>102</v>
      </c>
      <c r="E6" s="96" t="s">
        <v>15</v>
      </c>
      <c r="F6" s="100">
        <f t="shared" ref="F6:F69" si="0">COUNTIF(G6:XFD6,"취약")</f>
        <v>0</v>
      </c>
    </row>
    <row r="7" spans="1:6" s="122" customFormat="1" ht="11.1" customHeight="1" x14ac:dyDescent="0.3">
      <c r="A7" s="76"/>
      <c r="B7" s="151"/>
      <c r="C7" s="87" t="s">
        <v>28</v>
      </c>
      <c r="D7" s="91" t="s">
        <v>104</v>
      </c>
      <c r="E7" s="96" t="s">
        <v>15</v>
      </c>
      <c r="F7" s="100">
        <f t="shared" si="0"/>
        <v>0</v>
      </c>
    </row>
    <row r="8" spans="1:6" s="122" customFormat="1" ht="11.1" customHeight="1" x14ac:dyDescent="0.3">
      <c r="A8" s="76"/>
      <c r="B8" s="151"/>
      <c r="C8" s="87" t="s">
        <v>29</v>
      </c>
      <c r="D8" s="91" t="s">
        <v>105</v>
      </c>
      <c r="E8" s="96" t="s">
        <v>15</v>
      </c>
      <c r="F8" s="100">
        <f t="shared" si="0"/>
        <v>0</v>
      </c>
    </row>
    <row r="9" spans="1:6" s="122" customFormat="1" ht="11.1" customHeight="1" x14ac:dyDescent="0.3">
      <c r="A9" s="76"/>
      <c r="B9" s="151"/>
      <c r="C9" s="87" t="s">
        <v>30</v>
      </c>
      <c r="D9" s="91" t="s">
        <v>106</v>
      </c>
      <c r="E9" s="96" t="s">
        <v>16</v>
      </c>
      <c r="F9" s="100">
        <f t="shared" si="0"/>
        <v>0</v>
      </c>
    </row>
    <row r="10" spans="1:6" s="122" customFormat="1" ht="11.1" customHeight="1" x14ac:dyDescent="0.3">
      <c r="A10" s="76"/>
      <c r="B10" s="151"/>
      <c r="C10" s="87" t="s">
        <v>31</v>
      </c>
      <c r="D10" s="91" t="s">
        <v>107</v>
      </c>
      <c r="E10" s="96" t="s">
        <v>15</v>
      </c>
      <c r="F10" s="100">
        <f t="shared" si="0"/>
        <v>0</v>
      </c>
    </row>
    <row r="11" spans="1:6" s="122" customFormat="1" ht="11.1" customHeight="1" x14ac:dyDescent="0.3">
      <c r="A11" s="76"/>
      <c r="B11" s="151"/>
      <c r="C11" s="87" t="s">
        <v>32</v>
      </c>
      <c r="D11" s="91" t="s">
        <v>108</v>
      </c>
      <c r="E11" s="96" t="s">
        <v>17</v>
      </c>
      <c r="F11" s="100">
        <f t="shared" si="0"/>
        <v>0</v>
      </c>
    </row>
    <row r="12" spans="1:6" s="122" customFormat="1" ht="11.1" customHeight="1" x14ac:dyDescent="0.3">
      <c r="A12" s="76"/>
      <c r="B12" s="151"/>
      <c r="C12" s="87" t="s">
        <v>33</v>
      </c>
      <c r="D12" s="91" t="s">
        <v>109</v>
      </c>
      <c r="E12" s="96" t="s">
        <v>16</v>
      </c>
      <c r="F12" s="100">
        <f t="shared" si="0"/>
        <v>0</v>
      </c>
    </row>
    <row r="13" spans="1:6" s="122" customFormat="1" ht="11.1" customHeight="1" x14ac:dyDescent="0.3">
      <c r="A13" s="76"/>
      <c r="B13" s="151"/>
      <c r="C13" s="87" t="s">
        <v>34</v>
      </c>
      <c r="D13" s="91" t="s">
        <v>110</v>
      </c>
      <c r="E13" s="96" t="s">
        <v>17</v>
      </c>
      <c r="F13" s="100">
        <f t="shared" si="0"/>
        <v>0</v>
      </c>
    </row>
    <row r="14" spans="1:6" s="122" customFormat="1" ht="11.1" customHeight="1" x14ac:dyDescent="0.3">
      <c r="A14" s="76"/>
      <c r="B14" s="151"/>
      <c r="C14" s="87" t="s">
        <v>35</v>
      </c>
      <c r="D14" s="91" t="s">
        <v>111</v>
      </c>
      <c r="E14" s="96" t="s">
        <v>16</v>
      </c>
      <c r="F14" s="100">
        <f t="shared" si="0"/>
        <v>0</v>
      </c>
    </row>
    <row r="15" spans="1:6" s="122" customFormat="1" ht="11.1" customHeight="1" x14ac:dyDescent="0.3">
      <c r="A15" s="76"/>
      <c r="B15" s="151"/>
      <c r="C15" s="87" t="s">
        <v>36</v>
      </c>
      <c r="D15" s="91" t="s">
        <v>113</v>
      </c>
      <c r="E15" s="96" t="s">
        <v>17</v>
      </c>
      <c r="F15" s="100">
        <f t="shared" si="0"/>
        <v>0</v>
      </c>
    </row>
    <row r="16" spans="1:6" s="122" customFormat="1" ht="11.1" customHeight="1" x14ac:dyDescent="0.3">
      <c r="A16" s="76"/>
      <c r="B16" s="151"/>
      <c r="C16" s="87" t="s">
        <v>37</v>
      </c>
      <c r="D16" s="91" t="s">
        <v>115</v>
      </c>
      <c r="E16" s="96" t="s">
        <v>17</v>
      </c>
      <c r="F16" s="100">
        <f t="shared" si="0"/>
        <v>0</v>
      </c>
    </row>
    <row r="17" spans="1:6" s="122" customFormat="1" ht="11.1" customHeight="1" x14ac:dyDescent="0.3">
      <c r="A17" s="76"/>
      <c r="B17" s="152"/>
      <c r="C17" s="88" t="s">
        <v>38</v>
      </c>
      <c r="D17" s="92" t="s">
        <v>116</v>
      </c>
      <c r="E17" s="97" t="s">
        <v>16</v>
      </c>
      <c r="F17" s="100">
        <f t="shared" si="0"/>
        <v>0</v>
      </c>
    </row>
    <row r="18" spans="1:6" s="122" customFormat="1" ht="11.1" customHeight="1" x14ac:dyDescent="0.3">
      <c r="A18" s="76"/>
      <c r="B18" s="150" t="s">
        <v>18</v>
      </c>
      <c r="C18" s="86" t="s">
        <v>39</v>
      </c>
      <c r="D18" s="94" t="s">
        <v>117</v>
      </c>
      <c r="E18" s="95" t="s">
        <v>15</v>
      </c>
      <c r="F18" s="100">
        <f t="shared" si="0"/>
        <v>0</v>
      </c>
    </row>
    <row r="19" spans="1:6" s="122" customFormat="1" ht="11.1" customHeight="1" x14ac:dyDescent="0.3">
      <c r="A19" s="76"/>
      <c r="B19" s="151"/>
      <c r="C19" s="87" t="s">
        <v>40</v>
      </c>
      <c r="D19" s="91" t="s">
        <v>118</v>
      </c>
      <c r="E19" s="96" t="s">
        <v>15</v>
      </c>
      <c r="F19" s="100">
        <f t="shared" si="0"/>
        <v>0</v>
      </c>
    </row>
    <row r="20" spans="1:6" s="122" customFormat="1" ht="11.1" customHeight="1" x14ac:dyDescent="0.3">
      <c r="A20" s="76"/>
      <c r="B20" s="151"/>
      <c r="C20" s="87" t="s">
        <v>41</v>
      </c>
      <c r="D20" s="91" t="s">
        <v>119</v>
      </c>
      <c r="E20" s="96" t="s">
        <v>15</v>
      </c>
      <c r="F20" s="100">
        <f t="shared" si="0"/>
        <v>0</v>
      </c>
    </row>
    <row r="21" spans="1:6" s="122" customFormat="1" ht="11.1" customHeight="1" x14ac:dyDescent="0.3">
      <c r="A21" s="76"/>
      <c r="B21" s="151"/>
      <c r="C21" s="87" t="s">
        <v>42</v>
      </c>
      <c r="D21" s="91" t="s">
        <v>120</v>
      </c>
      <c r="E21" s="96" t="s">
        <v>15</v>
      </c>
      <c r="F21" s="100">
        <f t="shared" si="0"/>
        <v>0</v>
      </c>
    </row>
    <row r="22" spans="1:6" s="122" customFormat="1" ht="11.1" customHeight="1" x14ac:dyDescent="0.3">
      <c r="A22" s="76"/>
      <c r="B22" s="151"/>
      <c r="C22" s="87" t="s">
        <v>43</v>
      </c>
      <c r="D22" s="91" t="s">
        <v>121</v>
      </c>
      <c r="E22" s="96" t="s">
        <v>15</v>
      </c>
      <c r="F22" s="100">
        <f t="shared" si="0"/>
        <v>0</v>
      </c>
    </row>
    <row r="23" spans="1:6" s="122" customFormat="1" ht="11.1" customHeight="1" x14ac:dyDescent="0.3">
      <c r="A23" s="76"/>
      <c r="B23" s="151"/>
      <c r="C23" s="87" t="s">
        <v>44</v>
      </c>
      <c r="D23" s="91" t="s">
        <v>122</v>
      </c>
      <c r="E23" s="96" t="s">
        <v>15</v>
      </c>
      <c r="F23" s="100">
        <f t="shared" si="0"/>
        <v>0</v>
      </c>
    </row>
    <row r="24" spans="1:6" s="122" customFormat="1" ht="11.1" customHeight="1" x14ac:dyDescent="0.3">
      <c r="A24" s="76"/>
      <c r="B24" s="151"/>
      <c r="C24" s="87" t="s">
        <v>45</v>
      </c>
      <c r="D24" s="91" t="s">
        <v>123</v>
      </c>
      <c r="E24" s="96" t="s">
        <v>15</v>
      </c>
      <c r="F24" s="100">
        <f t="shared" si="0"/>
        <v>0</v>
      </c>
    </row>
    <row r="25" spans="1:6" s="122" customFormat="1" ht="11.1" customHeight="1" x14ac:dyDescent="0.3">
      <c r="A25" s="76"/>
      <c r="B25" s="151"/>
      <c r="C25" s="87" t="s">
        <v>46</v>
      </c>
      <c r="D25" s="91" t="s">
        <v>124</v>
      </c>
      <c r="E25" s="96" t="s">
        <v>15</v>
      </c>
      <c r="F25" s="100">
        <f t="shared" si="0"/>
        <v>0</v>
      </c>
    </row>
    <row r="26" spans="1:6" s="122" customFormat="1" ht="11.1" customHeight="1" x14ac:dyDescent="0.3">
      <c r="A26" s="76"/>
      <c r="B26" s="151"/>
      <c r="C26" s="87" t="s">
        <v>47</v>
      </c>
      <c r="D26" s="91" t="s">
        <v>125</v>
      </c>
      <c r="E26" s="96" t="s">
        <v>15</v>
      </c>
      <c r="F26" s="100">
        <f t="shared" si="0"/>
        <v>0</v>
      </c>
    </row>
    <row r="27" spans="1:6" s="122" customFormat="1" ht="11.1" customHeight="1" x14ac:dyDescent="0.3">
      <c r="A27" s="76"/>
      <c r="B27" s="151"/>
      <c r="C27" s="87" t="s">
        <v>48</v>
      </c>
      <c r="D27" s="91" t="s">
        <v>126</v>
      </c>
      <c r="E27" s="96" t="s">
        <v>15</v>
      </c>
      <c r="F27" s="100">
        <f t="shared" si="0"/>
        <v>0</v>
      </c>
    </row>
    <row r="28" spans="1:6" s="122" customFormat="1" ht="11.1" customHeight="1" x14ac:dyDescent="0.3">
      <c r="A28" s="76"/>
      <c r="B28" s="151"/>
      <c r="C28" s="87" t="s">
        <v>49</v>
      </c>
      <c r="D28" s="91" t="s">
        <v>127</v>
      </c>
      <c r="E28" s="96" t="s">
        <v>15</v>
      </c>
      <c r="F28" s="100">
        <f t="shared" si="0"/>
        <v>0</v>
      </c>
    </row>
    <row r="29" spans="1:6" s="122" customFormat="1" ht="11.1" customHeight="1" x14ac:dyDescent="0.3">
      <c r="A29" s="76"/>
      <c r="B29" s="151"/>
      <c r="C29" s="87" t="s">
        <v>50</v>
      </c>
      <c r="D29" s="91" t="s">
        <v>128</v>
      </c>
      <c r="E29" s="96" t="s">
        <v>15</v>
      </c>
      <c r="F29" s="100">
        <f t="shared" si="0"/>
        <v>0</v>
      </c>
    </row>
    <row r="30" spans="1:6" s="122" customFormat="1" ht="11.1" customHeight="1" x14ac:dyDescent="0.3">
      <c r="A30" s="76"/>
      <c r="B30" s="151"/>
      <c r="C30" s="87" t="s">
        <v>51</v>
      </c>
      <c r="D30" s="91" t="s">
        <v>129</v>
      </c>
      <c r="E30" s="96" t="s">
        <v>15</v>
      </c>
      <c r="F30" s="100">
        <f t="shared" si="0"/>
        <v>0</v>
      </c>
    </row>
    <row r="31" spans="1:6" s="122" customFormat="1" ht="11.1" customHeight="1" x14ac:dyDescent="0.3">
      <c r="A31" s="76"/>
      <c r="B31" s="151"/>
      <c r="C31" s="87" t="s">
        <v>52</v>
      </c>
      <c r="D31" s="91" t="s">
        <v>130</v>
      </c>
      <c r="E31" s="96" t="s">
        <v>15</v>
      </c>
      <c r="F31" s="100">
        <f t="shared" si="0"/>
        <v>0</v>
      </c>
    </row>
    <row r="32" spans="1:6" s="122" customFormat="1" ht="11.1" customHeight="1" x14ac:dyDescent="0.3">
      <c r="A32" s="76"/>
      <c r="B32" s="151"/>
      <c r="C32" s="87" t="s">
        <v>53</v>
      </c>
      <c r="D32" s="91" t="s">
        <v>131</v>
      </c>
      <c r="E32" s="96" t="s">
        <v>15</v>
      </c>
      <c r="F32" s="100">
        <f t="shared" si="0"/>
        <v>0</v>
      </c>
    </row>
    <row r="33" spans="1:6" s="122" customFormat="1" ht="11.1" customHeight="1" x14ac:dyDescent="0.3">
      <c r="A33" s="76"/>
      <c r="B33" s="151"/>
      <c r="C33" s="87" t="s">
        <v>54</v>
      </c>
      <c r="D33" s="91" t="s">
        <v>132</v>
      </c>
      <c r="E33" s="96" t="s">
        <v>17</v>
      </c>
      <c r="F33" s="100">
        <f t="shared" si="0"/>
        <v>0</v>
      </c>
    </row>
    <row r="34" spans="1:6" s="122" customFormat="1" ht="11.1" customHeight="1" x14ac:dyDescent="0.3">
      <c r="A34" s="76"/>
      <c r="B34" s="151"/>
      <c r="C34" s="87" t="s">
        <v>55</v>
      </c>
      <c r="D34" s="91" t="s">
        <v>133</v>
      </c>
      <c r="E34" s="96" t="s">
        <v>16</v>
      </c>
      <c r="F34" s="100">
        <f t="shared" si="0"/>
        <v>0</v>
      </c>
    </row>
    <row r="35" spans="1:6" s="122" customFormat="1" ht="11.1" customHeight="1" x14ac:dyDescent="0.3">
      <c r="A35" s="76"/>
      <c r="B35" s="151"/>
      <c r="C35" s="87" t="s">
        <v>56</v>
      </c>
      <c r="D35" s="91" t="s">
        <v>134</v>
      </c>
      <c r="E35" s="96" t="s">
        <v>16</v>
      </c>
      <c r="F35" s="100">
        <f t="shared" si="0"/>
        <v>0</v>
      </c>
    </row>
    <row r="36" spans="1:6" s="122" customFormat="1" ht="11.1" customHeight="1" x14ac:dyDescent="0.3">
      <c r="A36" s="76"/>
      <c r="B36" s="151"/>
      <c r="C36" s="87" t="s">
        <v>57</v>
      </c>
      <c r="D36" s="91" t="s">
        <v>135</v>
      </c>
      <c r="E36" s="96" t="s">
        <v>16</v>
      </c>
      <c r="F36" s="100">
        <f t="shared" si="0"/>
        <v>0</v>
      </c>
    </row>
    <row r="37" spans="1:6" s="122" customFormat="1" ht="11.1" customHeight="1" x14ac:dyDescent="0.3">
      <c r="A37" s="76"/>
      <c r="B37" s="152"/>
      <c r="C37" s="88" t="s">
        <v>58</v>
      </c>
      <c r="D37" s="92" t="s">
        <v>136</v>
      </c>
      <c r="E37" s="97" t="s">
        <v>17</v>
      </c>
      <c r="F37" s="100">
        <f t="shared" si="0"/>
        <v>0</v>
      </c>
    </row>
    <row r="38" spans="1:6" s="122" customFormat="1" ht="11.1" customHeight="1" x14ac:dyDescent="0.3">
      <c r="A38" s="76"/>
      <c r="B38" s="150" t="s">
        <v>19</v>
      </c>
      <c r="C38" s="86" t="s">
        <v>59</v>
      </c>
      <c r="D38" s="94" t="s">
        <v>137</v>
      </c>
      <c r="E38" s="95" t="s">
        <v>15</v>
      </c>
      <c r="F38" s="100">
        <f t="shared" si="0"/>
        <v>0</v>
      </c>
    </row>
    <row r="39" spans="1:6" s="122" customFormat="1" ht="11.1" customHeight="1" x14ac:dyDescent="0.3">
      <c r="A39" s="76"/>
      <c r="B39" s="151"/>
      <c r="C39" s="87" t="s">
        <v>60</v>
      </c>
      <c r="D39" s="91" t="s">
        <v>138</v>
      </c>
      <c r="E39" s="96" t="s">
        <v>15</v>
      </c>
      <c r="F39" s="100">
        <f t="shared" si="0"/>
        <v>0</v>
      </c>
    </row>
    <row r="40" spans="1:6" s="122" customFormat="1" ht="11.1" customHeight="1" x14ac:dyDescent="0.3">
      <c r="A40" s="76"/>
      <c r="B40" s="151"/>
      <c r="C40" s="87" t="s">
        <v>61</v>
      </c>
      <c r="D40" s="91" t="s">
        <v>139</v>
      </c>
      <c r="E40" s="96" t="s">
        <v>15</v>
      </c>
      <c r="F40" s="100">
        <f t="shared" si="0"/>
        <v>0</v>
      </c>
    </row>
    <row r="41" spans="1:6" s="122" customFormat="1" ht="11.1" customHeight="1" x14ac:dyDescent="0.3">
      <c r="A41" s="76"/>
      <c r="B41" s="151"/>
      <c r="C41" s="87" t="s">
        <v>62</v>
      </c>
      <c r="D41" s="91" t="s">
        <v>140</v>
      </c>
      <c r="E41" s="96" t="s">
        <v>15</v>
      </c>
      <c r="F41" s="100">
        <f t="shared" si="0"/>
        <v>0</v>
      </c>
    </row>
    <row r="42" spans="1:6" s="122" customFormat="1" ht="11.1" customHeight="1" x14ac:dyDescent="0.3">
      <c r="A42" s="76"/>
      <c r="B42" s="151"/>
      <c r="C42" s="87" t="s">
        <v>63</v>
      </c>
      <c r="D42" s="91" t="s">
        <v>141</v>
      </c>
      <c r="E42" s="96" t="s">
        <v>15</v>
      </c>
      <c r="F42" s="100">
        <f t="shared" si="0"/>
        <v>0</v>
      </c>
    </row>
    <row r="43" spans="1:6" s="122" customFormat="1" ht="11.1" customHeight="1" x14ac:dyDescent="0.3">
      <c r="A43" s="76"/>
      <c r="B43" s="151"/>
      <c r="C43" s="87" t="s">
        <v>64</v>
      </c>
      <c r="D43" s="91" t="s">
        <v>142</v>
      </c>
      <c r="E43" s="96" t="s">
        <v>15</v>
      </c>
      <c r="F43" s="100">
        <f t="shared" si="0"/>
        <v>0</v>
      </c>
    </row>
    <row r="44" spans="1:6" s="122" customFormat="1" ht="11.1" customHeight="1" x14ac:dyDescent="0.3">
      <c r="A44" s="76"/>
      <c r="B44" s="151"/>
      <c r="C44" s="87" t="s">
        <v>65</v>
      </c>
      <c r="D44" s="91" t="s">
        <v>144</v>
      </c>
      <c r="E44" s="96" t="s">
        <v>15</v>
      </c>
      <c r="F44" s="100">
        <f t="shared" si="0"/>
        <v>0</v>
      </c>
    </row>
    <row r="45" spans="1:6" s="122" customFormat="1" ht="11.1" customHeight="1" x14ac:dyDescent="0.3">
      <c r="A45" s="76"/>
      <c r="B45" s="151"/>
      <c r="C45" s="87" t="s">
        <v>66</v>
      </c>
      <c r="D45" s="91" t="s">
        <v>145</v>
      </c>
      <c r="E45" s="96" t="s">
        <v>15</v>
      </c>
      <c r="F45" s="100">
        <f t="shared" si="0"/>
        <v>0</v>
      </c>
    </row>
    <row r="46" spans="1:6" s="122" customFormat="1" ht="11.1" customHeight="1" x14ac:dyDescent="0.3">
      <c r="A46" s="76"/>
      <c r="B46" s="151"/>
      <c r="C46" s="87" t="s">
        <v>67</v>
      </c>
      <c r="D46" s="91" t="s">
        <v>146</v>
      </c>
      <c r="E46" s="96" t="s">
        <v>15</v>
      </c>
      <c r="F46" s="100">
        <f t="shared" si="0"/>
        <v>0</v>
      </c>
    </row>
    <row r="47" spans="1:6" s="122" customFormat="1" ht="11.1" customHeight="1" x14ac:dyDescent="0.3">
      <c r="A47" s="76"/>
      <c r="B47" s="151"/>
      <c r="C47" s="87" t="s">
        <v>68</v>
      </c>
      <c r="D47" s="91" t="s">
        <v>147</v>
      </c>
      <c r="E47" s="96" t="s">
        <v>15</v>
      </c>
      <c r="F47" s="100">
        <f t="shared" si="0"/>
        <v>0</v>
      </c>
    </row>
    <row r="48" spans="1:6" s="122" customFormat="1" ht="11.1" customHeight="1" x14ac:dyDescent="0.3">
      <c r="A48" s="76"/>
      <c r="B48" s="151"/>
      <c r="C48" s="87" t="s">
        <v>69</v>
      </c>
      <c r="D48" s="91" t="s">
        <v>148</v>
      </c>
      <c r="E48" s="96" t="s">
        <v>15</v>
      </c>
      <c r="F48" s="100">
        <f t="shared" si="0"/>
        <v>0</v>
      </c>
    </row>
    <row r="49" spans="1:6" s="122" customFormat="1" ht="11.1" customHeight="1" x14ac:dyDescent="0.3">
      <c r="A49" s="76"/>
      <c r="B49" s="151"/>
      <c r="C49" s="87" t="s">
        <v>70</v>
      </c>
      <c r="D49" s="91" t="s">
        <v>149</v>
      </c>
      <c r="E49" s="96" t="s">
        <v>15</v>
      </c>
      <c r="F49" s="100">
        <f t="shared" si="0"/>
        <v>0</v>
      </c>
    </row>
    <row r="50" spans="1:6" s="122" customFormat="1" ht="11.1" customHeight="1" x14ac:dyDescent="0.3">
      <c r="A50" s="76"/>
      <c r="B50" s="151"/>
      <c r="C50" s="87" t="s">
        <v>71</v>
      </c>
      <c r="D50" s="91" t="s">
        <v>151</v>
      </c>
      <c r="E50" s="96" t="s">
        <v>15</v>
      </c>
      <c r="F50" s="100">
        <f t="shared" si="0"/>
        <v>0</v>
      </c>
    </row>
    <row r="51" spans="1:6" s="122" customFormat="1" ht="11.1" customHeight="1" x14ac:dyDescent="0.3">
      <c r="A51" s="76"/>
      <c r="B51" s="151"/>
      <c r="C51" s="87" t="s">
        <v>72</v>
      </c>
      <c r="D51" s="91" t="s">
        <v>152</v>
      </c>
      <c r="E51" s="96" t="s">
        <v>15</v>
      </c>
      <c r="F51" s="100">
        <f t="shared" si="0"/>
        <v>0</v>
      </c>
    </row>
    <row r="52" spans="1:6" s="122" customFormat="1" ht="11.1" customHeight="1" x14ac:dyDescent="0.3">
      <c r="A52" s="76"/>
      <c r="B52" s="151"/>
      <c r="C52" s="87" t="s">
        <v>73</v>
      </c>
      <c r="D52" s="91" t="s">
        <v>153</v>
      </c>
      <c r="E52" s="96" t="s">
        <v>16</v>
      </c>
      <c r="F52" s="100">
        <f t="shared" si="0"/>
        <v>0</v>
      </c>
    </row>
    <row r="53" spans="1:6" s="122" customFormat="1" ht="11.1" customHeight="1" x14ac:dyDescent="0.3">
      <c r="A53" s="76"/>
      <c r="B53" s="151"/>
      <c r="C53" s="87" t="s">
        <v>74</v>
      </c>
      <c r="D53" s="91" t="s">
        <v>155</v>
      </c>
      <c r="E53" s="96" t="s">
        <v>15</v>
      </c>
      <c r="F53" s="100">
        <f t="shared" si="0"/>
        <v>0</v>
      </c>
    </row>
    <row r="54" spans="1:6" s="122" customFormat="1" ht="11.1" customHeight="1" x14ac:dyDescent="0.3">
      <c r="A54" s="76"/>
      <c r="B54" s="151"/>
      <c r="C54" s="87" t="s">
        <v>75</v>
      </c>
      <c r="D54" s="91" t="s">
        <v>157</v>
      </c>
      <c r="E54" s="96" t="s">
        <v>15</v>
      </c>
      <c r="F54" s="100">
        <f t="shared" si="0"/>
        <v>0</v>
      </c>
    </row>
    <row r="55" spans="1:6" s="122" customFormat="1" ht="11.1" customHeight="1" x14ac:dyDescent="0.3">
      <c r="A55" s="76"/>
      <c r="B55" s="151"/>
      <c r="C55" s="87" t="s">
        <v>76</v>
      </c>
      <c r="D55" s="91" t="s">
        <v>159</v>
      </c>
      <c r="E55" s="96" t="s">
        <v>16</v>
      </c>
      <c r="F55" s="100">
        <f t="shared" si="0"/>
        <v>0</v>
      </c>
    </row>
    <row r="56" spans="1:6" s="122" customFormat="1" ht="11.1" customHeight="1" x14ac:dyDescent="0.3">
      <c r="A56" s="76"/>
      <c r="B56" s="151"/>
      <c r="C56" s="87" t="s">
        <v>77</v>
      </c>
      <c r="D56" s="91" t="s">
        <v>160</v>
      </c>
      <c r="E56" s="96" t="s">
        <v>16</v>
      </c>
      <c r="F56" s="100">
        <f t="shared" si="0"/>
        <v>0</v>
      </c>
    </row>
    <row r="57" spans="1:6" s="122" customFormat="1" ht="11.1" customHeight="1" x14ac:dyDescent="0.3">
      <c r="A57" s="76"/>
      <c r="B57" s="151"/>
      <c r="C57" s="87" t="s">
        <v>78</v>
      </c>
      <c r="D57" s="91" t="s">
        <v>161</v>
      </c>
      <c r="E57" s="96" t="s">
        <v>17</v>
      </c>
      <c r="F57" s="100">
        <f t="shared" si="0"/>
        <v>0</v>
      </c>
    </row>
    <row r="58" spans="1:6" s="122" customFormat="1" ht="11.1" customHeight="1" x14ac:dyDescent="0.3">
      <c r="A58" s="76"/>
      <c r="B58" s="151"/>
      <c r="C58" s="87" t="s">
        <v>79</v>
      </c>
      <c r="D58" s="91" t="s">
        <v>162</v>
      </c>
      <c r="E58" s="96" t="s">
        <v>16</v>
      </c>
      <c r="F58" s="100">
        <f t="shared" si="0"/>
        <v>0</v>
      </c>
    </row>
    <row r="59" spans="1:6" s="122" customFormat="1" ht="11.1" customHeight="1" x14ac:dyDescent="0.3">
      <c r="A59" s="76"/>
      <c r="B59" s="151"/>
      <c r="C59" s="87" t="s">
        <v>80</v>
      </c>
      <c r="D59" s="91" t="s">
        <v>163</v>
      </c>
      <c r="E59" s="96" t="s">
        <v>16</v>
      </c>
      <c r="F59" s="100">
        <f t="shared" si="0"/>
        <v>0</v>
      </c>
    </row>
    <row r="60" spans="1:6" s="122" customFormat="1" ht="11.1" customHeight="1" x14ac:dyDescent="0.3">
      <c r="A60" s="76"/>
      <c r="B60" s="151"/>
      <c r="C60" s="87" t="s">
        <v>81</v>
      </c>
      <c r="D60" s="91" t="s">
        <v>165</v>
      </c>
      <c r="E60" s="96" t="s">
        <v>17</v>
      </c>
      <c r="F60" s="100">
        <f t="shared" si="0"/>
        <v>0</v>
      </c>
    </row>
    <row r="61" spans="1:6" s="122" customFormat="1" ht="11.1" customHeight="1" x14ac:dyDescent="0.3">
      <c r="A61" s="76"/>
      <c r="B61" s="151"/>
      <c r="C61" s="87" t="s">
        <v>82</v>
      </c>
      <c r="D61" s="91" t="s">
        <v>167</v>
      </c>
      <c r="E61" s="96" t="s">
        <v>16</v>
      </c>
      <c r="F61" s="100">
        <f t="shared" si="0"/>
        <v>0</v>
      </c>
    </row>
    <row r="62" spans="1:6" s="122" customFormat="1" ht="11.1" customHeight="1" x14ac:dyDescent="0.3">
      <c r="A62" s="76"/>
      <c r="B62" s="151"/>
      <c r="C62" s="87" t="s">
        <v>83</v>
      </c>
      <c r="D62" s="91" t="s">
        <v>168</v>
      </c>
      <c r="E62" s="96" t="s">
        <v>16</v>
      </c>
      <c r="F62" s="100">
        <f t="shared" si="0"/>
        <v>0</v>
      </c>
    </row>
    <row r="63" spans="1:6" s="122" customFormat="1" ht="11.1" customHeight="1" x14ac:dyDescent="0.3">
      <c r="A63" s="76"/>
      <c r="B63" s="151"/>
      <c r="C63" s="87" t="s">
        <v>84</v>
      </c>
      <c r="D63" s="91" t="s">
        <v>170</v>
      </c>
      <c r="E63" s="96" t="s">
        <v>15</v>
      </c>
      <c r="F63" s="100">
        <f t="shared" si="0"/>
        <v>0</v>
      </c>
    </row>
    <row r="64" spans="1:6" s="122" customFormat="1" ht="11.1" customHeight="1" x14ac:dyDescent="0.3">
      <c r="A64" s="76"/>
      <c r="B64" s="151"/>
      <c r="C64" s="87" t="s">
        <v>85</v>
      </c>
      <c r="D64" s="91" t="s">
        <v>172</v>
      </c>
      <c r="E64" s="96" t="s">
        <v>16</v>
      </c>
      <c r="F64" s="100">
        <f t="shared" si="0"/>
        <v>0</v>
      </c>
    </row>
    <row r="65" spans="1:6" s="122" customFormat="1" ht="11.1" customHeight="1" x14ac:dyDescent="0.3">
      <c r="A65" s="76"/>
      <c r="B65" s="151"/>
      <c r="C65" s="87" t="s">
        <v>86</v>
      </c>
      <c r="D65" s="91" t="s">
        <v>173</v>
      </c>
      <c r="E65" s="96" t="s">
        <v>15</v>
      </c>
      <c r="F65" s="100">
        <f t="shared" si="0"/>
        <v>0</v>
      </c>
    </row>
    <row r="66" spans="1:6" s="122" customFormat="1" ht="11.1" customHeight="1" x14ac:dyDescent="0.3">
      <c r="A66" s="76"/>
      <c r="B66" s="151"/>
      <c r="C66" s="87" t="s">
        <v>87</v>
      </c>
      <c r="D66" s="91" t="s">
        <v>174</v>
      </c>
      <c r="E66" s="96" t="s">
        <v>17</v>
      </c>
      <c r="F66" s="100">
        <f t="shared" si="0"/>
        <v>0</v>
      </c>
    </row>
    <row r="67" spans="1:6" s="122" customFormat="1" ht="11.1" customHeight="1" x14ac:dyDescent="0.3">
      <c r="A67" s="76"/>
      <c r="B67" s="152"/>
      <c r="C67" s="88" t="s">
        <v>88</v>
      </c>
      <c r="D67" s="92" t="s">
        <v>175</v>
      </c>
      <c r="E67" s="97" t="s">
        <v>16</v>
      </c>
      <c r="F67" s="100">
        <f t="shared" si="0"/>
        <v>0</v>
      </c>
    </row>
    <row r="68" spans="1:6" s="122" customFormat="1" ht="11.1" customHeight="1" x14ac:dyDescent="0.3">
      <c r="A68" s="76"/>
      <c r="B68" s="89" t="s">
        <v>20</v>
      </c>
      <c r="C68" s="90" t="s">
        <v>89</v>
      </c>
      <c r="D68" s="93" t="s">
        <v>176</v>
      </c>
      <c r="E68" s="98" t="s">
        <v>15</v>
      </c>
      <c r="F68" s="100">
        <f t="shared" si="0"/>
        <v>0</v>
      </c>
    </row>
    <row r="69" spans="1:6" s="122" customFormat="1" ht="11.1" customHeight="1" x14ac:dyDescent="0.3">
      <c r="A69" s="76"/>
      <c r="B69" s="150" t="s">
        <v>21</v>
      </c>
      <c r="C69" s="86" t="s">
        <v>90</v>
      </c>
      <c r="D69" s="94" t="s">
        <v>177</v>
      </c>
      <c r="E69" s="95" t="s">
        <v>16</v>
      </c>
      <c r="F69" s="100">
        <f t="shared" si="0"/>
        <v>0</v>
      </c>
    </row>
    <row r="70" spans="1:6" s="122" customFormat="1" ht="11.1" customHeight="1" x14ac:dyDescent="0.3">
      <c r="A70" s="76"/>
      <c r="B70" s="151"/>
      <c r="C70" s="87" t="s">
        <v>91</v>
      </c>
      <c r="D70" s="91" t="s">
        <v>178</v>
      </c>
      <c r="E70" s="96" t="s">
        <v>16</v>
      </c>
      <c r="F70" s="100">
        <f t="shared" ref="F70:F71" si="1">COUNTIF(G70:XFD70,"취약")</f>
        <v>0</v>
      </c>
    </row>
    <row r="71" spans="1:6" s="122" customFormat="1" ht="11.1" customHeight="1" x14ac:dyDescent="0.3">
      <c r="A71" s="76"/>
      <c r="B71" s="152"/>
      <c r="C71" s="88" t="s">
        <v>92</v>
      </c>
      <c r="D71" s="92" t="s">
        <v>179</v>
      </c>
      <c r="E71" s="97" t="s">
        <v>16</v>
      </c>
      <c r="F71" s="100">
        <f t="shared" si="1"/>
        <v>0</v>
      </c>
    </row>
    <row r="72" spans="1:6" s="122" customFormat="1" ht="11.1" customHeight="1" x14ac:dyDescent="0.3">
      <c r="A72" s="76"/>
      <c r="B72" s="76"/>
      <c r="C72" s="76"/>
      <c r="D72" s="85"/>
      <c r="E72" s="99" t="s">
        <v>269</v>
      </c>
      <c r="F72" s="100">
        <f>SUM(F5:F71)</f>
        <v>0</v>
      </c>
    </row>
    <row r="73" spans="1:6" s="122" customFormat="1" ht="11.1" customHeight="1" x14ac:dyDescent="0.3">
      <c r="A73" s="76"/>
      <c r="B73" s="76"/>
      <c r="C73" s="76"/>
      <c r="D73" s="85"/>
      <c r="E73" s="99" t="s">
        <v>15</v>
      </c>
      <c r="F73" s="100">
        <f>SUMIF($E$5:$E$71,"상",F5:F71)</f>
        <v>0</v>
      </c>
    </row>
    <row r="74" spans="1:6" s="122" customFormat="1" ht="11.1" customHeight="1" x14ac:dyDescent="0.3">
      <c r="A74" s="76"/>
      <c r="B74" s="76"/>
      <c r="C74" s="76"/>
      <c r="D74" s="85"/>
      <c r="E74" s="99" t="s">
        <v>16</v>
      </c>
      <c r="F74" s="100">
        <f>SUMIF($E$5:$E$71,"중",F5:F71)</f>
        <v>0</v>
      </c>
    </row>
    <row r="75" spans="1:6" s="122" customFormat="1" ht="11.1" customHeight="1" x14ac:dyDescent="0.3">
      <c r="A75" s="76"/>
      <c r="B75" s="76"/>
      <c r="C75" s="76"/>
      <c r="D75" s="85"/>
      <c r="E75" s="99" t="s">
        <v>17</v>
      </c>
      <c r="F75" s="100">
        <f>SUMIF($E$5:$E$71,"하",F5:F71)</f>
        <v>0</v>
      </c>
    </row>
    <row r="76" spans="1:6" s="122" customFormat="1" ht="11.1" customHeight="1" x14ac:dyDescent="0.3">
      <c r="A76" s="76"/>
      <c r="B76" s="76"/>
      <c r="C76" s="76"/>
      <c r="D76" s="85"/>
      <c r="E76" s="99" t="s">
        <v>270</v>
      </c>
      <c r="F76" s="100"/>
    </row>
    <row r="77" spans="1:6" ht="11.1" customHeight="1" x14ac:dyDescent="0.3"/>
    <row r="78" spans="1:6" ht="11.1" customHeight="1" x14ac:dyDescent="0.3"/>
    <row r="79" spans="1:6" ht="11.1" customHeight="1" x14ac:dyDescent="0.3"/>
  </sheetData>
  <mergeCells count="4">
    <mergeCell ref="B5:B17"/>
    <mergeCell ref="B18:B37"/>
    <mergeCell ref="B38:B67"/>
    <mergeCell ref="B69:B71"/>
  </mergeCells>
  <phoneticPr fontId="1" type="noConversion"/>
  <conditionalFormatting sqref="G5:DW71">
    <cfRule type="cellIs" dxfId="10" priority="1" operator="equal">
      <formula>"수동점검"</formula>
    </cfRule>
    <cfRule type="cellIs" dxfId="9" priority="2" operator="equal">
      <formula>"N/A"</formula>
    </cfRule>
    <cfRule type="cellIs" dxfId="8" priority="3" operator="equal">
      <formula>"취약"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139A-3502-49D1-A74D-B4D51E70B530}">
  <sheetPr>
    <tabColor theme="3" tint="0.89999084444715716"/>
  </sheetPr>
  <dimension ref="A1:Z41"/>
  <sheetViews>
    <sheetView tabSelected="1" view="pageBreakPreview" zoomScaleNormal="100" zoomScaleSheetLayoutView="100" zoomScalePageLayoutView="75" workbookViewId="0">
      <selection activeCell="A7" sqref="A7:N9"/>
    </sheetView>
  </sheetViews>
  <sheetFormatPr defaultRowHeight="16.5" x14ac:dyDescent="0.3"/>
  <cols>
    <col min="1" max="26" width="4.625" customWidth="1"/>
  </cols>
  <sheetData>
    <row r="1" spans="1:26" ht="14.1" customHeight="1" x14ac:dyDescent="0.3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4.1" customHeight="1" x14ac:dyDescent="0.3">
      <c r="A2" s="6" t="s">
        <v>354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1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1" customHeight="1" x14ac:dyDescent="0.3">
      <c r="A4" s="1"/>
      <c r="B4" s="123" t="s">
        <v>355</v>
      </c>
      <c r="D4" s="124"/>
      <c r="E4" s="124"/>
      <c r="F4" s="124"/>
      <c r="G4" s="124"/>
      <c r="H4" s="124"/>
      <c r="I4" s="124"/>
      <c r="J4" s="124"/>
      <c r="K4" s="124"/>
      <c r="L4" s="12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1" customHeight="1" x14ac:dyDescent="0.3">
      <c r="A5" s="1"/>
      <c r="B5" s="1"/>
      <c r="C5" s="124"/>
      <c r="D5" s="124"/>
      <c r="E5" s="124"/>
      <c r="F5" s="124"/>
      <c r="G5" s="125"/>
      <c r="H5" s="125"/>
      <c r="I5" s="125"/>
      <c r="J5" s="125"/>
      <c r="K5" s="124"/>
      <c r="L5" s="12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1" customHeight="1" x14ac:dyDescent="0.3">
      <c r="A6" s="1"/>
      <c r="B6" s="1"/>
      <c r="C6" s="128" t="str">
        <f>'Ⅰ. 표지'!A7 &amp; " 서버(LINUX/UNIX)의 이행점검 결과 전체 점검항목중에서 " &amp; 'Ⅴ. 이행점검 결과'!F72 &amp; "개(상 " &amp; 'Ⅴ. 이행점검 결과'!F73 &amp;"개, 중 " &amp; 'Ⅴ. 이행점검 결과'!F74 &amp;"개, 하 " &amp; 'Ⅴ. 이행점검 결과'!F75 &amp;"개)의 취약점이 발견되었습니다."</f>
        <v>업체명 서버(LINUX/UNIX)의 이행점검 결과 전체 점검항목중에서 0개(상 0개, 중 0개, 하 0개)의 취약점이 발견되었습니다.</v>
      </c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"/>
      <c r="Z6" s="1"/>
    </row>
    <row r="7" spans="1:26" ht="14.1" customHeight="1" x14ac:dyDescent="0.3">
      <c r="A7" s="1"/>
      <c r="B7" s="1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"/>
      <c r="Z7" s="1"/>
    </row>
    <row r="8" spans="1:26" ht="14.1" customHeight="1" x14ac:dyDescent="0.3">
      <c r="A8" s="1"/>
      <c r="B8" s="1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1" customHeight="1" x14ac:dyDescent="0.3">
      <c r="A9" s="1"/>
      <c r="B9" s="1"/>
      <c r="C9" s="129" t="str">
        <f>"취약점 분석 평가 점수가 가장 낮은 대상은 '" &amp; IFERROR(INDEX('Ⅴ. 이행점검 결과'!G4:XFD4, MATCH(MIN('Ⅴ. 이행점검 결과'!G76:XFD76), 'Ⅴ. 이행점검 결과'!G76:XFD76, 0)), "서버이름") &amp; "' 입니다. 전체 대상의 취약점 분석 평가 평균 점수는 " &amp; IFERROR(ROUND(AVERAGE('Ⅴ. 이행점검 결과'!G76:XFD76)*100, 1), "00") &amp; "점 입니다."</f>
        <v>취약점 분석 평가 점수가 가장 낮은 대상은 '서버이름' 입니다. 전체 대상의 취약점 분석 평가 평균 점수는 00점 입니다.</v>
      </c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"/>
      <c r="Z9" s="1"/>
    </row>
    <row r="10" spans="1:26" x14ac:dyDescent="0.3">
      <c r="A10" s="1"/>
      <c r="B10" s="1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"/>
      <c r="Z10" s="1"/>
    </row>
    <row r="11" spans="1:26" ht="14.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1" customHeight="1" x14ac:dyDescent="0.3">
      <c r="A13" s="1"/>
      <c r="B13" s="1"/>
      <c r="C13" s="127" t="s">
        <v>348</v>
      </c>
      <c r="D13" s="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127" t="s">
        <v>349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4.1" customHeight="1" x14ac:dyDescent="0.3">
      <c r="A14" s="1"/>
      <c r="B14" s="1"/>
      <c r="D14" s="12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1" customHeight="1" x14ac:dyDescent="0.3">
      <c r="A15" s="1"/>
      <c r="B15" s="1"/>
      <c r="C15" s="124"/>
      <c r="D15" s="12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1" customHeight="1" x14ac:dyDescent="0.3">
      <c r="A17" s="1"/>
      <c r="B17" s="12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1" customHeight="1" x14ac:dyDescent="0.3">
      <c r="A18" s="1"/>
      <c r="B18" s="12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1" customHeight="1" x14ac:dyDescent="0.3">
      <c r="A19" s="1"/>
      <c r="B19" s="124"/>
      <c r="C19" s="1"/>
      <c r="D19" s="1"/>
      <c r="E19" s="1"/>
      <c r="F19" s="1"/>
      <c r="G19" s="1"/>
      <c r="H19" s="1"/>
      <c r="I19" s="1" t="s">
        <v>278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1" customHeight="1" x14ac:dyDescent="0.3">
      <c r="A20" s="1"/>
      <c r="B20" s="124"/>
      <c r="C20" s="1"/>
      <c r="D20" s="1"/>
      <c r="E20" s="1"/>
      <c r="F20" s="1"/>
      <c r="G20" s="1"/>
      <c r="H20" s="1"/>
      <c r="I20" s="124"/>
      <c r="J20" s="124"/>
      <c r="K20" s="1"/>
      <c r="L20" s="12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1" customHeight="1" x14ac:dyDescent="0.3">
      <c r="A21" s="1"/>
      <c r="B21" s="124"/>
      <c r="C21" s="1"/>
      <c r="D21" s="1"/>
      <c r="E21" s="1"/>
      <c r="F21" s="1"/>
      <c r="G21" s="1"/>
      <c r="H21" s="1"/>
      <c r="I21" s="124"/>
      <c r="J21" s="124"/>
      <c r="K21" s="1"/>
      <c r="L21" s="12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1" customHeight="1" x14ac:dyDescent="0.3">
      <c r="A22" s="1"/>
      <c r="B22" s="124"/>
      <c r="C22" s="1"/>
      <c r="D22" s="1"/>
      <c r="E22" s="1"/>
      <c r="F22" s="1"/>
      <c r="G22" s="1"/>
      <c r="H22" s="1"/>
      <c r="I22" s="124"/>
      <c r="J22" s="124"/>
      <c r="K22" s="1"/>
      <c r="L22" s="12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1" customHeight="1" x14ac:dyDescent="0.3">
      <c r="A23" s="1"/>
      <c r="B23" s="124"/>
      <c r="C23" s="1"/>
      <c r="D23" s="1"/>
      <c r="E23" s="1"/>
      <c r="F23" s="1"/>
      <c r="G23" s="1"/>
      <c r="H23" s="1"/>
      <c r="I23" s="124"/>
      <c r="J23" s="124"/>
      <c r="K23" s="1"/>
      <c r="L23" s="12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1" customHeight="1" x14ac:dyDescent="0.3">
      <c r="A24" s="1"/>
      <c r="B24" s="124"/>
      <c r="C24" s="1"/>
      <c r="D24" s="1"/>
      <c r="E24" s="1"/>
      <c r="F24" s="1"/>
      <c r="G24" s="1"/>
      <c r="H24" s="1"/>
      <c r="I24" s="124"/>
      <c r="J24" s="124"/>
      <c r="K24" s="1"/>
      <c r="L24" s="12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1" customHeight="1" x14ac:dyDescent="0.3">
      <c r="A25" s="1"/>
      <c r="B25" s="124"/>
      <c r="C25" s="1"/>
      <c r="D25" s="1"/>
      <c r="E25" s="1"/>
      <c r="F25" s="1"/>
      <c r="G25" s="1"/>
      <c r="H25" s="1"/>
      <c r="I25" s="124"/>
      <c r="J25" s="124"/>
      <c r="K25" s="1"/>
      <c r="L25" s="12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1" customHeight="1" x14ac:dyDescent="0.3">
      <c r="A26" s="1"/>
      <c r="B26" s="124"/>
      <c r="C26" s="1"/>
      <c r="D26" s="1"/>
      <c r="E26" s="1"/>
      <c r="F26" s="1"/>
      <c r="G26" s="1"/>
      <c r="H26" s="1"/>
      <c r="I26" s="124"/>
      <c r="J26" s="124"/>
      <c r="K26" s="1"/>
      <c r="L26" s="12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1" customHeight="1" x14ac:dyDescent="0.3">
      <c r="A27" s="1"/>
      <c r="B27" s="124"/>
      <c r="C27" s="1"/>
      <c r="D27" s="1"/>
      <c r="E27" s="1"/>
      <c r="F27" s="1"/>
      <c r="G27" s="1"/>
      <c r="H27" s="1"/>
      <c r="I27" s="124"/>
      <c r="J27" s="1"/>
      <c r="K27" s="1"/>
      <c r="L27" s="12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1" customHeight="1" x14ac:dyDescent="0.3">
      <c r="A28" s="1"/>
      <c r="B28" s="124"/>
      <c r="C28" s="1"/>
      <c r="D28" s="1"/>
      <c r="E28" s="1"/>
      <c r="F28" s="1"/>
      <c r="G28" s="1"/>
      <c r="H28" s="1"/>
      <c r="I28" s="124"/>
      <c r="J28" s="12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1" customHeight="1" x14ac:dyDescent="0.3">
      <c r="A29" s="1"/>
      <c r="B29" s="1"/>
      <c r="C29" s="1"/>
      <c r="D29" s="1"/>
      <c r="E29" s="1"/>
      <c r="F29" s="1"/>
      <c r="G29" s="1"/>
      <c r="H29" s="1"/>
      <c r="I29" s="124"/>
      <c r="J29" s="124"/>
      <c r="K29" s="12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1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1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1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1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1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1" customHeight="1" x14ac:dyDescent="0.3"/>
    <row r="36" spans="1:26" ht="14.1" customHeight="1" x14ac:dyDescent="0.3"/>
    <row r="37" spans="1:26" ht="14.1" customHeight="1" x14ac:dyDescent="0.3"/>
    <row r="38" spans="1:26" ht="14.1" customHeight="1" x14ac:dyDescent="0.3"/>
    <row r="39" spans="1:26" ht="14.1" customHeight="1" x14ac:dyDescent="0.3"/>
    <row r="40" spans="1:26" ht="14.1" customHeight="1" x14ac:dyDescent="0.3"/>
    <row r="41" spans="1:26" ht="14.1" customHeight="1" x14ac:dyDescent="0.3"/>
  </sheetData>
  <mergeCells count="2">
    <mergeCell ref="C6:X7"/>
    <mergeCell ref="C9:X1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0" fitToWidth="0" fitToHeight="0" orientation="landscape" r:id="rId1"/>
  <headerFooter>
    <oddHeader>&amp;L&amp;G&amp;C대구미래교육연구원 주요정보통신기반시설
서버(UNIX) 이행점검 상세 결과보고서</oddHeader>
    <oddFooter>&amp;L&amp;G&amp;R&amp;K04+000| &amp;P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2154-9E0D-4F72-A30B-9A60C32A36AA}">
  <dimension ref="A1:X105"/>
  <sheetViews>
    <sheetView view="pageBreakPreview" zoomScale="40" zoomScaleNormal="55" zoomScaleSheetLayoutView="40" workbookViewId="0">
      <selection activeCell="A7" sqref="A7:N9"/>
    </sheetView>
  </sheetViews>
  <sheetFormatPr defaultRowHeight="16.5" x14ac:dyDescent="0.3"/>
  <cols>
    <col min="1" max="1" width="3.625" style="8" customWidth="1"/>
    <col min="2" max="2" width="15.75" style="8" customWidth="1"/>
    <col min="3" max="3" width="7" style="8" bestFit="1" customWidth="1"/>
    <col min="4" max="4" width="46.75" style="8" bestFit="1" customWidth="1"/>
    <col min="5" max="5" width="14.375" style="8" bestFit="1" customWidth="1"/>
    <col min="6" max="6" width="5.5" style="8" customWidth="1"/>
    <col min="7" max="7" width="3" style="8" hidden="1" customWidth="1"/>
    <col min="8" max="8" width="63" style="8" customWidth="1"/>
    <col min="9" max="9" width="9.125" style="8" customWidth="1"/>
    <col min="10" max="10" width="5" style="41" hidden="1" customWidth="1"/>
    <col min="11" max="11" width="66.625" style="8" customWidth="1"/>
    <col min="12" max="12" width="25.625" style="8" customWidth="1"/>
    <col min="13" max="13" width="50.625" style="8" bestFit="1" customWidth="1"/>
    <col min="14" max="14" width="25.625" style="8" customWidth="1"/>
    <col min="15" max="15" width="9.125" customWidth="1"/>
    <col min="16" max="16" width="9.125" hidden="1" customWidth="1"/>
    <col min="17" max="17" width="66.625" customWidth="1"/>
    <col min="18" max="18" width="25.625" customWidth="1"/>
  </cols>
  <sheetData>
    <row r="1" spans="1:24" s="8" customFormat="1" ht="16.5" customHeight="1" x14ac:dyDescent="0.3">
      <c r="A1" s="4" t="s">
        <v>343</v>
      </c>
      <c r="B1" s="5"/>
      <c r="C1" s="5"/>
      <c r="D1" s="5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8" customFormat="1" ht="16.5" customHeight="1" x14ac:dyDescent="0.3">
      <c r="A2" s="5"/>
      <c r="B2" s="5"/>
      <c r="C2" s="5"/>
      <c r="D2" s="5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s="8" customFormat="1" ht="16.5" customHeight="1" x14ac:dyDescent="0.3">
      <c r="A3" s="5"/>
      <c r="B3" s="9"/>
      <c r="C3" s="6"/>
      <c r="D3" s="6"/>
      <c r="E3" s="6"/>
      <c r="F3" s="7"/>
      <c r="G3" s="5"/>
      <c r="H3" s="5"/>
      <c r="I3" s="1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8" customFormat="1" ht="16.5" customHeight="1" x14ac:dyDescent="0.3">
      <c r="A4" s="5"/>
      <c r="B4" s="10" t="s">
        <v>6</v>
      </c>
      <c r="C4" s="165"/>
      <c r="D4" s="166"/>
      <c r="E4" s="10" t="s">
        <v>3</v>
      </c>
      <c r="F4" s="167"/>
      <c r="G4" s="167"/>
      <c r="H4" s="167"/>
      <c r="I4" s="16"/>
      <c r="J4" s="16"/>
      <c r="K4" s="16"/>
      <c r="L4" s="16"/>
      <c r="M4" s="16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s="8" customFormat="1" ht="16.5" customHeight="1" x14ac:dyDescent="0.3">
      <c r="A5" s="5"/>
      <c r="B5" s="10" t="s">
        <v>7</v>
      </c>
      <c r="C5" s="165"/>
      <c r="D5" s="166"/>
      <c r="E5" s="11" t="s">
        <v>8</v>
      </c>
      <c r="F5" s="168"/>
      <c r="G5" s="168"/>
      <c r="H5" s="168"/>
      <c r="I5" s="16"/>
      <c r="J5" s="16"/>
      <c r="K5" s="16"/>
      <c r="L5" s="16"/>
      <c r="M5" s="16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s="8" customFormat="1" ht="16.5" customHeight="1" x14ac:dyDescent="0.3">
      <c r="A6" s="5"/>
      <c r="B6" s="10" t="s">
        <v>9</v>
      </c>
      <c r="C6" s="165"/>
      <c r="D6" s="166"/>
      <c r="E6" s="10" t="s">
        <v>5</v>
      </c>
      <c r="F6" s="168"/>
      <c r="G6" s="168"/>
      <c r="H6" s="168"/>
      <c r="I6" s="16"/>
      <c r="J6" s="16"/>
      <c r="K6" s="16"/>
      <c r="L6" s="16"/>
      <c r="M6" s="16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3">
      <c r="A7" s="5"/>
      <c r="B7" s="7"/>
      <c r="C7" s="7"/>
      <c r="D7" s="7"/>
      <c r="E7" s="7"/>
      <c r="F7" s="7"/>
      <c r="G7" s="5"/>
      <c r="H7" s="16"/>
      <c r="I7" s="16"/>
      <c r="J7" s="16"/>
      <c r="K7" s="16"/>
      <c r="L7" s="16"/>
      <c r="M7" s="16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3">
      <c r="A8" s="5"/>
      <c r="B8" s="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3">
      <c r="A9" s="5"/>
      <c r="B9" s="17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3">
      <c r="A10" s="5"/>
      <c r="B10" s="160" t="s">
        <v>10</v>
      </c>
      <c r="C10" s="160" t="s">
        <v>11</v>
      </c>
      <c r="D10" s="160" t="s">
        <v>12</v>
      </c>
      <c r="E10" s="160"/>
      <c r="F10" s="160" t="s">
        <v>13</v>
      </c>
      <c r="G10" s="160" t="s">
        <v>93</v>
      </c>
      <c r="H10" s="161" t="s">
        <v>94</v>
      </c>
      <c r="I10" s="162" t="s">
        <v>23</v>
      </c>
      <c r="J10" s="163"/>
      <c r="K10" s="163"/>
      <c r="L10" s="163"/>
      <c r="M10" s="163"/>
      <c r="N10" s="164"/>
      <c r="O10" s="161" t="s">
        <v>342</v>
      </c>
      <c r="P10" s="161"/>
      <c r="Q10" s="161"/>
      <c r="R10" s="161"/>
      <c r="S10" s="5"/>
      <c r="T10" s="5"/>
      <c r="U10" s="5"/>
      <c r="V10" s="5"/>
      <c r="W10" s="5"/>
      <c r="X10" s="5"/>
    </row>
    <row r="11" spans="1:24" x14ac:dyDescent="0.3">
      <c r="A11" s="5"/>
      <c r="B11" s="160"/>
      <c r="C11" s="160"/>
      <c r="D11" s="160"/>
      <c r="E11" s="160"/>
      <c r="F11" s="160"/>
      <c r="G11" s="160"/>
      <c r="H11" s="161"/>
      <c r="I11" s="12" t="s">
        <v>24</v>
      </c>
      <c r="J11" s="12" t="s">
        <v>95</v>
      </c>
      <c r="K11" s="12" t="s">
        <v>25</v>
      </c>
      <c r="L11" s="12" t="s">
        <v>96</v>
      </c>
      <c r="M11" s="12" t="s">
        <v>97</v>
      </c>
      <c r="N11" s="12" t="s">
        <v>98</v>
      </c>
      <c r="O11" s="12" t="s">
        <v>24</v>
      </c>
      <c r="P11" s="12" t="s">
        <v>93</v>
      </c>
      <c r="Q11" s="12" t="s">
        <v>25</v>
      </c>
      <c r="R11" s="12" t="s">
        <v>341</v>
      </c>
      <c r="S11" s="5"/>
      <c r="T11" s="5"/>
      <c r="U11" s="5"/>
      <c r="V11" s="5"/>
      <c r="W11" s="5"/>
      <c r="X11" s="5"/>
    </row>
    <row r="12" spans="1:24" ht="24" x14ac:dyDescent="0.3">
      <c r="A12" s="5"/>
      <c r="B12" s="155" t="s">
        <v>14</v>
      </c>
      <c r="C12" s="18" t="s">
        <v>26</v>
      </c>
      <c r="D12" s="158" t="s">
        <v>99</v>
      </c>
      <c r="E12" s="158"/>
      <c r="F12" s="19" t="s">
        <v>15</v>
      </c>
      <c r="G12" s="20">
        <f>IF(F12="상",10,IF(F12="중",8,6))</f>
        <v>10</v>
      </c>
      <c r="H12" s="21" t="s">
        <v>100</v>
      </c>
      <c r="I12" s="102"/>
      <c r="J12" s="23">
        <f>IF(I12="N/A","N/A",(IF(I12="양호",1,IF(I12="위험수용",0.5,0))*$G12))</f>
        <v>0</v>
      </c>
      <c r="K12" s="24"/>
      <c r="L12" s="24"/>
      <c r="M12" s="24" t="str">
        <f>IF(OR(I12="취약",I12="수동점검"),대응방안!G4,"-")</f>
        <v>-</v>
      </c>
      <c r="N12" s="24"/>
      <c r="O12" s="112"/>
      <c r="P12" s="23">
        <f>IF(O12="N/A","N/A",(IF(O12="양호",1,IF(O12="위험수용",0.5,0))*$G12))</f>
        <v>0</v>
      </c>
      <c r="Q12" s="108"/>
      <c r="R12" s="103"/>
      <c r="S12" s="5"/>
      <c r="T12" s="5"/>
      <c r="U12" s="5"/>
      <c r="V12" s="5"/>
      <c r="W12" s="5"/>
      <c r="X12" s="5"/>
    </row>
    <row r="13" spans="1:24" ht="24" x14ac:dyDescent="0.3">
      <c r="A13" s="5"/>
      <c r="B13" s="156"/>
      <c r="C13" s="25" t="s">
        <v>27</v>
      </c>
      <c r="D13" s="159" t="s">
        <v>102</v>
      </c>
      <c r="E13" s="159"/>
      <c r="F13" s="26" t="s">
        <v>15</v>
      </c>
      <c r="G13" s="27">
        <f t="shared" ref="G13:G76" si="0">IF(F13="상",10,IF(F13="중",8,6))</f>
        <v>10</v>
      </c>
      <c r="H13" s="28" t="s">
        <v>103</v>
      </c>
      <c r="I13" s="29"/>
      <c r="J13" s="23">
        <f t="shared" ref="J13:J76" si="1">IF(I13="N/A","N/A",(IF(I13="양호",1,IF(I13="위험수용",0.5,0))*$G13))</f>
        <v>0</v>
      </c>
      <c r="K13" s="30"/>
      <c r="L13" s="30"/>
      <c r="M13" s="30" t="str">
        <f>IF(OR(I13="취약",I13="수동점검"),대응방안!G5,"-")</f>
        <v>-</v>
      </c>
      <c r="N13" s="30"/>
      <c r="O13" s="113"/>
      <c r="P13" s="116">
        <f t="shared" ref="P13:P76" si="2">IF(O13="N/A","N/A",(IF(O13="양호",1,IF(O13="위험수용",0.5,0))*$G13))</f>
        <v>0</v>
      </c>
      <c r="Q13" s="109"/>
      <c r="R13" s="104"/>
      <c r="S13" s="5"/>
      <c r="T13" s="5"/>
      <c r="U13" s="5"/>
      <c r="V13" s="5"/>
      <c r="W13" s="5"/>
      <c r="X13" s="5"/>
    </row>
    <row r="14" spans="1:24" ht="24" x14ac:dyDescent="0.3">
      <c r="A14" s="5"/>
      <c r="B14" s="156"/>
      <c r="C14" s="25" t="s">
        <v>28</v>
      </c>
      <c r="D14" s="159" t="s">
        <v>104</v>
      </c>
      <c r="E14" s="159"/>
      <c r="F14" s="26" t="s">
        <v>15</v>
      </c>
      <c r="G14" s="27">
        <f t="shared" si="0"/>
        <v>10</v>
      </c>
      <c r="H14" s="28" t="s">
        <v>181</v>
      </c>
      <c r="I14" s="29"/>
      <c r="J14" s="23">
        <f t="shared" si="1"/>
        <v>0</v>
      </c>
      <c r="K14" s="30"/>
      <c r="L14" s="30"/>
      <c r="M14" s="30" t="str">
        <f>IF(OR(I14="취약",I14="수동점검"),대응방안!G6,"-")</f>
        <v>-</v>
      </c>
      <c r="N14" s="30"/>
      <c r="O14" s="113"/>
      <c r="P14" s="116">
        <f t="shared" si="2"/>
        <v>0</v>
      </c>
      <c r="Q14" s="109"/>
      <c r="R14" s="104"/>
      <c r="S14" s="5"/>
      <c r="T14" s="5"/>
      <c r="U14" s="5"/>
      <c r="V14" s="5"/>
      <c r="W14" s="5"/>
      <c r="X14" s="5"/>
    </row>
    <row r="15" spans="1:24" ht="24" x14ac:dyDescent="0.3">
      <c r="A15" s="5"/>
      <c r="B15" s="156"/>
      <c r="C15" s="25" t="s">
        <v>29</v>
      </c>
      <c r="D15" s="159" t="s">
        <v>105</v>
      </c>
      <c r="E15" s="159"/>
      <c r="F15" s="26" t="s">
        <v>15</v>
      </c>
      <c r="G15" s="27">
        <f t="shared" si="0"/>
        <v>10</v>
      </c>
      <c r="H15" s="28" t="s">
        <v>182</v>
      </c>
      <c r="I15" s="29"/>
      <c r="J15" s="23">
        <f t="shared" si="1"/>
        <v>0</v>
      </c>
      <c r="K15" s="30"/>
      <c r="L15" s="30"/>
      <c r="M15" s="30" t="str">
        <f>IF(OR(I15="취약",I15="수동점검"),대응방안!G7,"-")</f>
        <v>-</v>
      </c>
      <c r="N15" s="30"/>
      <c r="O15" s="113"/>
      <c r="P15" s="116">
        <f t="shared" si="2"/>
        <v>0</v>
      </c>
      <c r="Q15" s="109"/>
      <c r="R15" s="104"/>
      <c r="S15" s="5"/>
      <c r="T15" s="5"/>
      <c r="U15" s="5"/>
      <c r="V15" s="5"/>
      <c r="W15" s="5"/>
      <c r="X15" s="5"/>
    </row>
    <row r="16" spans="1:24" ht="24" x14ac:dyDescent="0.3">
      <c r="A16" s="5"/>
      <c r="B16" s="156"/>
      <c r="C16" s="25" t="s">
        <v>30</v>
      </c>
      <c r="D16" s="159" t="s">
        <v>106</v>
      </c>
      <c r="E16" s="159"/>
      <c r="F16" s="26" t="s">
        <v>16</v>
      </c>
      <c r="G16" s="27">
        <f t="shared" si="0"/>
        <v>8</v>
      </c>
      <c r="H16" s="28" t="s">
        <v>183</v>
      </c>
      <c r="I16" s="29"/>
      <c r="J16" s="23">
        <f t="shared" si="1"/>
        <v>0</v>
      </c>
      <c r="K16" s="30"/>
      <c r="L16" s="30"/>
      <c r="M16" s="30" t="str">
        <f>IF(OR(I16="취약",I16="수동점검"),대응방안!G8,"-")</f>
        <v>-</v>
      </c>
      <c r="N16" s="30"/>
      <c r="O16" s="113"/>
      <c r="P16" s="116">
        <f t="shared" si="2"/>
        <v>0</v>
      </c>
      <c r="Q16" s="109"/>
      <c r="R16" s="104"/>
      <c r="S16" s="5"/>
      <c r="T16" s="5"/>
      <c r="U16" s="5"/>
      <c r="V16" s="5"/>
      <c r="W16" s="5"/>
      <c r="X16" s="5"/>
    </row>
    <row r="17" spans="1:24" ht="36" x14ac:dyDescent="0.3">
      <c r="A17" s="5"/>
      <c r="B17" s="156"/>
      <c r="C17" s="25" t="s">
        <v>31</v>
      </c>
      <c r="D17" s="159" t="s">
        <v>107</v>
      </c>
      <c r="E17" s="159"/>
      <c r="F17" s="26" t="s">
        <v>15</v>
      </c>
      <c r="G17" s="27">
        <f t="shared" si="0"/>
        <v>10</v>
      </c>
      <c r="H17" s="28" t="s">
        <v>184</v>
      </c>
      <c r="I17" s="29"/>
      <c r="J17" s="23">
        <f t="shared" si="1"/>
        <v>0</v>
      </c>
      <c r="K17" s="30"/>
      <c r="L17" s="30"/>
      <c r="M17" s="30" t="str">
        <f>IF(OR(I17="취약",I17="수동점검"),대응방안!G9,"-")</f>
        <v>-</v>
      </c>
      <c r="N17" s="30"/>
      <c r="O17" s="113"/>
      <c r="P17" s="116">
        <f t="shared" si="2"/>
        <v>0</v>
      </c>
      <c r="Q17" s="109"/>
      <c r="R17" s="104"/>
      <c r="S17" s="5"/>
      <c r="T17" s="5"/>
      <c r="U17" s="5"/>
      <c r="V17" s="5"/>
      <c r="W17" s="5"/>
      <c r="X17" s="5"/>
    </row>
    <row r="18" spans="1:24" ht="24" x14ac:dyDescent="0.3">
      <c r="A18" s="5"/>
      <c r="B18" s="156"/>
      <c r="C18" s="25" t="s">
        <v>32</v>
      </c>
      <c r="D18" s="159" t="s">
        <v>108</v>
      </c>
      <c r="E18" s="159"/>
      <c r="F18" s="26" t="s">
        <v>17</v>
      </c>
      <c r="G18" s="27">
        <f t="shared" si="0"/>
        <v>6</v>
      </c>
      <c r="H18" s="28" t="s">
        <v>185</v>
      </c>
      <c r="I18" s="29"/>
      <c r="J18" s="23">
        <f t="shared" si="1"/>
        <v>0</v>
      </c>
      <c r="K18" s="30"/>
      <c r="L18" s="30"/>
      <c r="M18" s="30" t="str">
        <f>IF(OR(I18="취약",I18="수동점검"),대응방안!G10,"-")</f>
        <v>-</v>
      </c>
      <c r="N18" s="30"/>
      <c r="O18" s="113"/>
      <c r="P18" s="116">
        <f t="shared" si="2"/>
        <v>0</v>
      </c>
      <c r="Q18" s="109"/>
      <c r="R18" s="104"/>
      <c r="S18" s="5"/>
      <c r="T18" s="5"/>
      <c r="U18" s="5"/>
      <c r="V18" s="5"/>
      <c r="W18" s="5"/>
      <c r="X18" s="5"/>
    </row>
    <row r="19" spans="1:24" ht="24" x14ac:dyDescent="0.3">
      <c r="A19" s="5"/>
      <c r="B19" s="156"/>
      <c r="C19" s="25" t="s">
        <v>33</v>
      </c>
      <c r="D19" s="159" t="s">
        <v>109</v>
      </c>
      <c r="E19" s="159"/>
      <c r="F19" s="26" t="s">
        <v>16</v>
      </c>
      <c r="G19" s="27">
        <f t="shared" si="0"/>
        <v>8</v>
      </c>
      <c r="H19" s="28" t="s">
        <v>186</v>
      </c>
      <c r="I19" s="29"/>
      <c r="J19" s="23">
        <f t="shared" si="1"/>
        <v>0</v>
      </c>
      <c r="K19" s="30"/>
      <c r="L19" s="30"/>
      <c r="M19" s="30" t="str">
        <f>IF(OR(I19="취약",I19="수동점검"),대응방안!G11,"-")</f>
        <v>-</v>
      </c>
      <c r="N19" s="30"/>
      <c r="O19" s="113"/>
      <c r="P19" s="116">
        <f t="shared" si="2"/>
        <v>0</v>
      </c>
      <c r="Q19" s="109"/>
      <c r="R19" s="104"/>
      <c r="S19" s="5"/>
      <c r="T19" s="5"/>
      <c r="U19" s="5"/>
      <c r="V19" s="5"/>
      <c r="W19" s="5"/>
      <c r="X19" s="5"/>
    </row>
    <row r="20" spans="1:24" ht="24" x14ac:dyDescent="0.3">
      <c r="A20" s="5"/>
      <c r="B20" s="156"/>
      <c r="C20" s="25" t="s">
        <v>34</v>
      </c>
      <c r="D20" s="159" t="s">
        <v>110</v>
      </c>
      <c r="E20" s="159"/>
      <c r="F20" s="26" t="s">
        <v>17</v>
      </c>
      <c r="G20" s="27">
        <f t="shared" si="0"/>
        <v>6</v>
      </c>
      <c r="H20" s="28" t="s">
        <v>187</v>
      </c>
      <c r="I20" s="29"/>
      <c r="J20" s="23">
        <f t="shared" si="1"/>
        <v>0</v>
      </c>
      <c r="K20" s="30"/>
      <c r="L20" s="30"/>
      <c r="M20" s="30" t="str">
        <f>IF(OR(I20="취약",I20="수동점검"),대응방안!G12,"-")</f>
        <v>-</v>
      </c>
      <c r="N20" s="30"/>
      <c r="O20" s="113"/>
      <c r="P20" s="116">
        <f t="shared" si="2"/>
        <v>0</v>
      </c>
      <c r="Q20" s="109"/>
      <c r="R20" s="104"/>
      <c r="S20" s="5"/>
      <c r="T20" s="5"/>
      <c r="U20" s="5"/>
      <c r="V20" s="5"/>
      <c r="W20" s="5"/>
      <c r="X20" s="5"/>
    </row>
    <row r="21" spans="1:24" ht="24" x14ac:dyDescent="0.3">
      <c r="A21" s="5"/>
      <c r="B21" s="156"/>
      <c r="C21" s="25" t="s">
        <v>35</v>
      </c>
      <c r="D21" s="159" t="s">
        <v>111</v>
      </c>
      <c r="E21" s="159"/>
      <c r="F21" s="26" t="s">
        <v>16</v>
      </c>
      <c r="G21" s="27">
        <f t="shared" si="0"/>
        <v>8</v>
      </c>
      <c r="H21" s="28" t="s">
        <v>112</v>
      </c>
      <c r="I21" s="29"/>
      <c r="J21" s="23">
        <f t="shared" si="1"/>
        <v>0</v>
      </c>
      <c r="K21" s="30"/>
      <c r="L21" s="30"/>
      <c r="M21" s="30" t="str">
        <f>IF(OR(I21="취약",I21="수동점검"),대응방안!G13,"-")</f>
        <v>-</v>
      </c>
      <c r="N21" s="30"/>
      <c r="O21" s="113"/>
      <c r="P21" s="116">
        <f t="shared" si="2"/>
        <v>0</v>
      </c>
      <c r="Q21" s="109"/>
      <c r="R21" s="104"/>
      <c r="S21" s="5"/>
      <c r="T21" s="5"/>
      <c r="U21" s="5"/>
      <c r="V21" s="5"/>
      <c r="W21" s="5"/>
      <c r="X21" s="5"/>
    </row>
    <row r="22" spans="1:24" ht="24" x14ac:dyDescent="0.3">
      <c r="A22" s="5"/>
      <c r="B22" s="156"/>
      <c r="C22" s="25" t="s">
        <v>36</v>
      </c>
      <c r="D22" s="159" t="s">
        <v>113</v>
      </c>
      <c r="E22" s="159"/>
      <c r="F22" s="26" t="s">
        <v>17</v>
      </c>
      <c r="G22" s="27">
        <f t="shared" si="0"/>
        <v>6</v>
      </c>
      <c r="H22" s="28" t="s">
        <v>114</v>
      </c>
      <c r="I22" s="29"/>
      <c r="J22" s="23">
        <f t="shared" si="1"/>
        <v>0</v>
      </c>
      <c r="K22" s="30"/>
      <c r="L22" s="30"/>
      <c r="M22" s="30" t="str">
        <f>IF(OR(I22="취약",I22="수동점검"),대응방안!G14,"-")</f>
        <v>-</v>
      </c>
      <c r="N22" s="30"/>
      <c r="O22" s="113"/>
      <c r="P22" s="116">
        <f t="shared" si="2"/>
        <v>0</v>
      </c>
      <c r="Q22" s="109"/>
      <c r="R22" s="104"/>
      <c r="S22" s="5"/>
      <c r="T22" s="5"/>
      <c r="U22" s="5"/>
      <c r="V22" s="5"/>
      <c r="W22" s="5"/>
      <c r="X22" s="5"/>
    </row>
    <row r="23" spans="1:24" ht="24" x14ac:dyDescent="0.3">
      <c r="A23" s="5"/>
      <c r="B23" s="156"/>
      <c r="C23" s="25" t="s">
        <v>37</v>
      </c>
      <c r="D23" s="159" t="s">
        <v>115</v>
      </c>
      <c r="E23" s="159"/>
      <c r="F23" s="26" t="s">
        <v>17</v>
      </c>
      <c r="G23" s="27">
        <f t="shared" si="0"/>
        <v>6</v>
      </c>
      <c r="H23" s="28" t="s">
        <v>188</v>
      </c>
      <c r="I23" s="29"/>
      <c r="J23" s="23">
        <f t="shared" si="1"/>
        <v>0</v>
      </c>
      <c r="K23" s="30"/>
      <c r="L23" s="30"/>
      <c r="M23" s="30" t="str">
        <f>IF(OR(I23="취약",I23="수동점검"),대응방안!G15,"-")</f>
        <v>-</v>
      </c>
      <c r="N23" s="30"/>
      <c r="O23" s="113"/>
      <c r="P23" s="116">
        <f t="shared" si="2"/>
        <v>0</v>
      </c>
      <c r="Q23" s="109"/>
      <c r="R23" s="104"/>
      <c r="S23" s="5"/>
      <c r="T23" s="5"/>
      <c r="U23" s="5"/>
      <c r="V23" s="5"/>
      <c r="W23" s="5"/>
      <c r="X23" s="5"/>
    </row>
    <row r="24" spans="1:24" ht="24" x14ac:dyDescent="0.3">
      <c r="A24" s="5"/>
      <c r="B24" s="157"/>
      <c r="C24" s="31" t="s">
        <v>38</v>
      </c>
      <c r="D24" s="153" t="s">
        <v>116</v>
      </c>
      <c r="E24" s="153"/>
      <c r="F24" s="32" t="s">
        <v>16</v>
      </c>
      <c r="G24" s="27">
        <f t="shared" si="0"/>
        <v>8</v>
      </c>
      <c r="H24" s="33" t="s">
        <v>189</v>
      </c>
      <c r="I24" s="34"/>
      <c r="J24" s="23">
        <f t="shared" si="1"/>
        <v>0</v>
      </c>
      <c r="K24" s="35"/>
      <c r="L24" s="35"/>
      <c r="M24" s="35" t="str">
        <f>IF(OR(I24="취약",I24="수동점검"),대응방안!G16,"-")</f>
        <v>-</v>
      </c>
      <c r="N24" s="35"/>
      <c r="O24" s="114"/>
      <c r="P24" s="117">
        <f t="shared" si="2"/>
        <v>0</v>
      </c>
      <c r="Q24" s="110"/>
      <c r="R24" s="105"/>
      <c r="S24" s="5"/>
      <c r="T24" s="5"/>
      <c r="U24" s="5"/>
      <c r="V24" s="5"/>
      <c r="W24" s="5"/>
      <c r="X24" s="5"/>
    </row>
    <row r="25" spans="1:24" ht="24" x14ac:dyDescent="0.3">
      <c r="A25" s="5"/>
      <c r="B25" s="155" t="s">
        <v>18</v>
      </c>
      <c r="C25" s="18" t="s">
        <v>39</v>
      </c>
      <c r="D25" s="158" t="s">
        <v>117</v>
      </c>
      <c r="E25" s="158"/>
      <c r="F25" s="19" t="s">
        <v>15</v>
      </c>
      <c r="G25" s="27">
        <f t="shared" si="0"/>
        <v>10</v>
      </c>
      <c r="H25" s="21" t="s">
        <v>190</v>
      </c>
      <c r="I25" s="22"/>
      <c r="J25" s="23">
        <f t="shared" si="1"/>
        <v>0</v>
      </c>
      <c r="K25" s="24"/>
      <c r="L25" s="24"/>
      <c r="M25" s="24" t="str">
        <f>IF(OR(I25="취약",I25="수동점검"),대응방안!G17,"-")</f>
        <v>-</v>
      </c>
      <c r="N25" s="24"/>
      <c r="O25" s="112"/>
      <c r="P25" s="23">
        <f t="shared" si="2"/>
        <v>0</v>
      </c>
      <c r="Q25" s="108"/>
      <c r="R25" s="103"/>
      <c r="S25" s="5"/>
      <c r="T25" s="5"/>
      <c r="U25" s="5"/>
      <c r="V25" s="5"/>
      <c r="W25" s="5"/>
      <c r="X25" s="5"/>
    </row>
    <row r="26" spans="1:24" ht="24" x14ac:dyDescent="0.3">
      <c r="A26" s="5"/>
      <c r="B26" s="156"/>
      <c r="C26" s="25" t="s">
        <v>40</v>
      </c>
      <c r="D26" s="159" t="s">
        <v>118</v>
      </c>
      <c r="E26" s="159"/>
      <c r="F26" s="26" t="s">
        <v>15</v>
      </c>
      <c r="G26" s="27">
        <f t="shared" si="0"/>
        <v>10</v>
      </c>
      <c r="H26" s="28" t="s">
        <v>180</v>
      </c>
      <c r="I26" s="29"/>
      <c r="J26" s="23">
        <f t="shared" si="1"/>
        <v>0</v>
      </c>
      <c r="K26" s="30"/>
      <c r="L26" s="30"/>
      <c r="M26" s="30" t="str">
        <f>IF(OR(I26="취약",I26="수동점검"),대응방안!G18,"-")</f>
        <v>-</v>
      </c>
      <c r="N26" s="30"/>
      <c r="O26" s="113"/>
      <c r="P26" s="116">
        <f t="shared" si="2"/>
        <v>0</v>
      </c>
      <c r="Q26" s="109"/>
      <c r="R26" s="104"/>
      <c r="S26" s="5"/>
      <c r="T26" s="5"/>
      <c r="U26" s="5"/>
      <c r="V26" s="5"/>
      <c r="W26" s="5"/>
      <c r="X26" s="5"/>
    </row>
    <row r="27" spans="1:24" ht="24" x14ac:dyDescent="0.3">
      <c r="A27" s="5"/>
      <c r="B27" s="156"/>
      <c r="C27" s="25" t="s">
        <v>41</v>
      </c>
      <c r="D27" s="159" t="s">
        <v>119</v>
      </c>
      <c r="E27" s="159"/>
      <c r="F27" s="26" t="s">
        <v>15</v>
      </c>
      <c r="G27" s="27">
        <f t="shared" si="0"/>
        <v>10</v>
      </c>
      <c r="H27" s="28" t="s">
        <v>191</v>
      </c>
      <c r="I27" s="29"/>
      <c r="J27" s="23">
        <f t="shared" si="1"/>
        <v>0</v>
      </c>
      <c r="K27" s="36"/>
      <c r="L27" s="30"/>
      <c r="M27" s="30" t="str">
        <f>IF(OR(I27="취약",I27="수동점검"),대응방안!G19,"-")</f>
        <v>-</v>
      </c>
      <c r="N27" s="30"/>
      <c r="O27" s="113"/>
      <c r="P27" s="116">
        <f t="shared" si="2"/>
        <v>0</v>
      </c>
      <c r="Q27" s="109"/>
      <c r="R27" s="104"/>
      <c r="S27" s="5"/>
      <c r="T27" s="5"/>
      <c r="U27" s="5"/>
      <c r="V27" s="5"/>
      <c r="W27" s="5"/>
      <c r="X27" s="5"/>
    </row>
    <row r="28" spans="1:24" ht="48" x14ac:dyDescent="0.3">
      <c r="A28" s="5"/>
      <c r="B28" s="156"/>
      <c r="C28" s="25" t="s">
        <v>42</v>
      </c>
      <c r="D28" s="159" t="s">
        <v>120</v>
      </c>
      <c r="E28" s="159"/>
      <c r="F28" s="26" t="s">
        <v>15</v>
      </c>
      <c r="G28" s="27">
        <f t="shared" si="0"/>
        <v>10</v>
      </c>
      <c r="H28" s="28" t="s">
        <v>192</v>
      </c>
      <c r="I28" s="29"/>
      <c r="J28" s="23">
        <f t="shared" si="1"/>
        <v>0</v>
      </c>
      <c r="K28" s="37"/>
      <c r="L28" s="30"/>
      <c r="M28" s="30" t="str">
        <f>IF(OR(I28="취약",I28="수동점검"),대응방안!G20,"-")</f>
        <v>-</v>
      </c>
      <c r="N28" s="30"/>
      <c r="O28" s="113"/>
      <c r="P28" s="116">
        <f t="shared" si="2"/>
        <v>0</v>
      </c>
      <c r="Q28" s="109"/>
      <c r="R28" s="104"/>
      <c r="S28" s="5"/>
      <c r="T28" s="5"/>
      <c r="U28" s="5"/>
      <c r="V28" s="5"/>
      <c r="W28" s="5"/>
      <c r="X28" s="5"/>
    </row>
    <row r="29" spans="1:24" ht="24" x14ac:dyDescent="0.3">
      <c r="A29" s="5"/>
      <c r="B29" s="156"/>
      <c r="C29" s="25" t="s">
        <v>43</v>
      </c>
      <c r="D29" s="159" t="s">
        <v>121</v>
      </c>
      <c r="E29" s="159"/>
      <c r="F29" s="26" t="s">
        <v>15</v>
      </c>
      <c r="G29" s="27">
        <f t="shared" si="0"/>
        <v>10</v>
      </c>
      <c r="H29" s="28" t="s">
        <v>193</v>
      </c>
      <c r="I29" s="29"/>
      <c r="J29" s="23">
        <f t="shared" si="1"/>
        <v>0</v>
      </c>
      <c r="K29" s="30"/>
      <c r="L29" s="30"/>
      <c r="M29" s="30" t="str">
        <f>IF(OR(I29="취약",I29="수동점검"),대응방안!G21,"-")</f>
        <v>-</v>
      </c>
      <c r="N29" s="30"/>
      <c r="O29" s="113"/>
      <c r="P29" s="116">
        <f t="shared" si="2"/>
        <v>0</v>
      </c>
      <c r="Q29" s="109"/>
      <c r="R29" s="104"/>
      <c r="S29" s="5"/>
      <c r="T29" s="5"/>
      <c r="U29" s="5"/>
      <c r="V29" s="5"/>
      <c r="W29" s="5"/>
      <c r="X29" s="5"/>
    </row>
    <row r="30" spans="1:24" ht="24" x14ac:dyDescent="0.3">
      <c r="A30" s="5"/>
      <c r="B30" s="156"/>
      <c r="C30" s="25" t="s">
        <v>44</v>
      </c>
      <c r="D30" s="159" t="s">
        <v>122</v>
      </c>
      <c r="E30" s="159"/>
      <c r="F30" s="26" t="s">
        <v>15</v>
      </c>
      <c r="G30" s="27">
        <f t="shared" si="0"/>
        <v>10</v>
      </c>
      <c r="H30" s="28" t="s">
        <v>194</v>
      </c>
      <c r="I30" s="29"/>
      <c r="J30" s="23">
        <f t="shared" si="1"/>
        <v>0</v>
      </c>
      <c r="K30" s="37"/>
      <c r="L30" s="30"/>
      <c r="M30" s="30" t="str">
        <f>IF(OR(I30="취약",I30="수동점검"),대응방안!G22,"-")</f>
        <v>-</v>
      </c>
      <c r="N30" s="30"/>
      <c r="O30" s="113"/>
      <c r="P30" s="116">
        <f t="shared" si="2"/>
        <v>0</v>
      </c>
      <c r="Q30" s="109"/>
      <c r="R30" s="104"/>
      <c r="S30" s="5"/>
      <c r="T30" s="5"/>
      <c r="U30" s="5"/>
      <c r="V30" s="5"/>
      <c r="W30" s="5"/>
      <c r="X30" s="5"/>
    </row>
    <row r="31" spans="1:24" ht="24" x14ac:dyDescent="0.3">
      <c r="A31" s="5"/>
      <c r="B31" s="156"/>
      <c r="C31" s="25" t="s">
        <v>45</v>
      </c>
      <c r="D31" s="159" t="s">
        <v>123</v>
      </c>
      <c r="E31" s="159"/>
      <c r="F31" s="26" t="s">
        <v>15</v>
      </c>
      <c r="G31" s="27">
        <f t="shared" si="0"/>
        <v>10</v>
      </c>
      <c r="H31" s="28" t="s">
        <v>195</v>
      </c>
      <c r="I31" s="29"/>
      <c r="J31" s="23">
        <f t="shared" si="1"/>
        <v>0</v>
      </c>
      <c r="K31" s="30"/>
      <c r="L31" s="30"/>
      <c r="M31" s="30" t="str">
        <f>IF(OR(I31="취약",I31="수동점검"),대응방안!G23,"-")</f>
        <v>-</v>
      </c>
      <c r="N31" s="30"/>
      <c r="O31" s="113"/>
      <c r="P31" s="116">
        <f t="shared" si="2"/>
        <v>0</v>
      </c>
      <c r="Q31" s="109"/>
      <c r="R31" s="104"/>
      <c r="S31" s="5"/>
      <c r="T31" s="5"/>
      <c r="U31" s="5"/>
      <c r="V31" s="5"/>
      <c r="W31" s="5"/>
      <c r="X31" s="5"/>
    </row>
    <row r="32" spans="1:24" ht="36" x14ac:dyDescent="0.3">
      <c r="A32" s="5"/>
      <c r="B32" s="156"/>
      <c r="C32" s="25" t="s">
        <v>46</v>
      </c>
      <c r="D32" s="159" t="s">
        <v>124</v>
      </c>
      <c r="E32" s="159"/>
      <c r="F32" s="26" t="s">
        <v>15</v>
      </c>
      <c r="G32" s="27">
        <f t="shared" si="0"/>
        <v>10</v>
      </c>
      <c r="H32" s="28" t="s">
        <v>196</v>
      </c>
      <c r="I32" s="29"/>
      <c r="J32" s="23">
        <f t="shared" si="1"/>
        <v>0</v>
      </c>
      <c r="K32" s="37"/>
      <c r="L32" s="30"/>
      <c r="M32" s="30" t="str">
        <f>IF(OR(I32="취약",I32="수동점검"),대응방안!G24,"-")</f>
        <v>-</v>
      </c>
      <c r="N32" s="30"/>
      <c r="O32" s="113"/>
      <c r="P32" s="116">
        <f t="shared" si="2"/>
        <v>0</v>
      </c>
      <c r="Q32" s="109"/>
      <c r="R32" s="104"/>
      <c r="S32" s="5"/>
      <c r="T32" s="5"/>
      <c r="U32" s="5"/>
      <c r="V32" s="5"/>
      <c r="W32" s="5"/>
      <c r="X32" s="5"/>
    </row>
    <row r="33" spans="1:24" ht="36" x14ac:dyDescent="0.3">
      <c r="A33" s="5"/>
      <c r="B33" s="156"/>
      <c r="C33" s="25" t="s">
        <v>47</v>
      </c>
      <c r="D33" s="159" t="s">
        <v>125</v>
      </c>
      <c r="E33" s="159"/>
      <c r="F33" s="26" t="s">
        <v>15</v>
      </c>
      <c r="G33" s="27">
        <f t="shared" si="0"/>
        <v>10</v>
      </c>
      <c r="H33" s="28" t="s">
        <v>197</v>
      </c>
      <c r="I33" s="29"/>
      <c r="J33" s="23">
        <f t="shared" si="1"/>
        <v>0</v>
      </c>
      <c r="K33" s="30"/>
      <c r="L33" s="30"/>
      <c r="M33" s="30" t="str">
        <f>IF(OR(I33="취약",I33="수동점검"),대응방안!G25,"-")</f>
        <v>-</v>
      </c>
      <c r="N33" s="30"/>
      <c r="O33" s="113"/>
      <c r="P33" s="116">
        <f t="shared" si="2"/>
        <v>0</v>
      </c>
      <c r="Q33" s="109"/>
      <c r="R33" s="104"/>
      <c r="S33" s="5"/>
      <c r="T33" s="5"/>
      <c r="U33" s="5"/>
      <c r="V33" s="5"/>
      <c r="W33" s="5"/>
      <c r="X33" s="5"/>
    </row>
    <row r="34" spans="1:24" ht="24" x14ac:dyDescent="0.3">
      <c r="A34" s="5"/>
      <c r="B34" s="156"/>
      <c r="C34" s="25" t="s">
        <v>48</v>
      </c>
      <c r="D34" s="159" t="s">
        <v>126</v>
      </c>
      <c r="E34" s="159"/>
      <c r="F34" s="26" t="s">
        <v>15</v>
      </c>
      <c r="G34" s="27">
        <f t="shared" si="0"/>
        <v>10</v>
      </c>
      <c r="H34" s="28" t="s">
        <v>198</v>
      </c>
      <c r="I34" s="29"/>
      <c r="J34" s="23">
        <f t="shared" si="1"/>
        <v>0</v>
      </c>
      <c r="K34" s="37"/>
      <c r="L34" s="30"/>
      <c r="M34" s="30" t="str">
        <f>IF(OR(I34="취약",I34="수동점검"),대응방안!G26,"-")</f>
        <v>-</v>
      </c>
      <c r="N34" s="30"/>
      <c r="O34" s="113"/>
      <c r="P34" s="116">
        <f t="shared" si="2"/>
        <v>0</v>
      </c>
      <c r="Q34" s="109"/>
      <c r="R34" s="104"/>
      <c r="S34" s="5"/>
      <c r="T34" s="5"/>
      <c r="U34" s="5"/>
      <c r="V34" s="5"/>
      <c r="W34" s="5"/>
      <c r="X34" s="5"/>
    </row>
    <row r="35" spans="1:24" ht="48" x14ac:dyDescent="0.3">
      <c r="A35" s="5"/>
      <c r="B35" s="156"/>
      <c r="C35" s="25" t="s">
        <v>49</v>
      </c>
      <c r="D35" s="159" t="s">
        <v>127</v>
      </c>
      <c r="E35" s="159"/>
      <c r="F35" s="26" t="s">
        <v>15</v>
      </c>
      <c r="G35" s="27">
        <f t="shared" si="0"/>
        <v>10</v>
      </c>
      <c r="H35" s="28" t="s">
        <v>199</v>
      </c>
      <c r="I35" s="29"/>
      <c r="J35" s="23">
        <f t="shared" si="1"/>
        <v>0</v>
      </c>
      <c r="K35" s="30"/>
      <c r="L35" s="30"/>
      <c r="M35" s="30" t="str">
        <f>IF(OR(I35="취약",I35="수동점검"),대응방안!G27,"-")</f>
        <v>-</v>
      </c>
      <c r="N35" s="30"/>
      <c r="O35" s="113"/>
      <c r="P35" s="116">
        <f t="shared" si="2"/>
        <v>0</v>
      </c>
      <c r="Q35" s="109"/>
      <c r="R35" s="104"/>
      <c r="S35" s="5"/>
      <c r="T35" s="5"/>
      <c r="U35" s="5"/>
      <c r="V35" s="5"/>
      <c r="W35" s="5"/>
      <c r="X35" s="5"/>
    </row>
    <row r="36" spans="1:24" ht="24" x14ac:dyDescent="0.3">
      <c r="A36" s="5"/>
      <c r="B36" s="156"/>
      <c r="C36" s="25" t="s">
        <v>50</v>
      </c>
      <c r="D36" s="159" t="s">
        <v>128</v>
      </c>
      <c r="E36" s="159"/>
      <c r="F36" s="26" t="s">
        <v>15</v>
      </c>
      <c r="G36" s="27">
        <f t="shared" si="0"/>
        <v>10</v>
      </c>
      <c r="H36" s="28" t="s">
        <v>200</v>
      </c>
      <c r="I36" s="29"/>
      <c r="J36" s="23">
        <f t="shared" si="1"/>
        <v>0</v>
      </c>
      <c r="K36" s="30"/>
      <c r="L36" s="30"/>
      <c r="M36" s="30" t="str">
        <f>IF(OR(I36="취약",I36="수동점검"),대응방안!G28,"-")</f>
        <v>-</v>
      </c>
      <c r="N36" s="30"/>
      <c r="O36" s="113"/>
      <c r="P36" s="116">
        <f t="shared" si="2"/>
        <v>0</v>
      </c>
      <c r="Q36" s="109"/>
      <c r="R36" s="104"/>
      <c r="S36" s="5"/>
      <c r="T36" s="5"/>
      <c r="U36" s="5"/>
      <c r="V36" s="5"/>
      <c r="W36" s="5"/>
      <c r="X36" s="5"/>
    </row>
    <row r="37" spans="1:24" ht="24" x14ac:dyDescent="0.3">
      <c r="A37" s="5"/>
      <c r="B37" s="156"/>
      <c r="C37" s="25" t="s">
        <v>51</v>
      </c>
      <c r="D37" s="159" t="s">
        <v>129</v>
      </c>
      <c r="E37" s="159"/>
      <c r="F37" s="26" t="s">
        <v>15</v>
      </c>
      <c r="G37" s="27">
        <f t="shared" si="0"/>
        <v>10</v>
      </c>
      <c r="H37" s="28" t="s">
        <v>201</v>
      </c>
      <c r="I37" s="29"/>
      <c r="J37" s="23">
        <f t="shared" si="1"/>
        <v>0</v>
      </c>
      <c r="K37" s="30"/>
      <c r="L37" s="30"/>
      <c r="M37" s="30" t="str">
        <f>IF(OR(I37="취약",I37="수동점검"),대응방안!G29,"-")</f>
        <v>-</v>
      </c>
      <c r="N37" s="30"/>
      <c r="O37" s="113"/>
      <c r="P37" s="116">
        <f t="shared" si="2"/>
        <v>0</v>
      </c>
      <c r="Q37" s="109"/>
      <c r="R37" s="104"/>
      <c r="S37" s="5"/>
      <c r="T37" s="5"/>
      <c r="U37" s="5"/>
      <c r="V37" s="5"/>
      <c r="W37" s="5"/>
      <c r="X37" s="5"/>
    </row>
    <row r="38" spans="1:24" ht="96" x14ac:dyDescent="0.3">
      <c r="A38" s="5"/>
      <c r="B38" s="156"/>
      <c r="C38" s="25" t="s">
        <v>52</v>
      </c>
      <c r="D38" s="159" t="s">
        <v>130</v>
      </c>
      <c r="E38" s="159"/>
      <c r="F38" s="26" t="s">
        <v>15</v>
      </c>
      <c r="G38" s="27">
        <f t="shared" si="0"/>
        <v>10</v>
      </c>
      <c r="H38" s="28" t="s">
        <v>202</v>
      </c>
      <c r="I38" s="29"/>
      <c r="J38" s="23">
        <f t="shared" si="1"/>
        <v>0</v>
      </c>
      <c r="K38" s="30"/>
      <c r="L38" s="30"/>
      <c r="M38" s="30" t="str">
        <f>IF(OR(I38="취약",I38="수동점검"),대응방안!G30,"-")</f>
        <v>-</v>
      </c>
      <c r="N38" s="30"/>
      <c r="O38" s="113"/>
      <c r="P38" s="116">
        <f t="shared" si="2"/>
        <v>0</v>
      </c>
      <c r="Q38" s="109"/>
      <c r="R38" s="104"/>
      <c r="S38" s="5"/>
      <c r="T38" s="5"/>
      <c r="U38" s="5"/>
      <c r="V38" s="5"/>
      <c r="W38" s="5"/>
      <c r="X38" s="5"/>
    </row>
    <row r="39" spans="1:24" ht="24" x14ac:dyDescent="0.3">
      <c r="A39" s="5"/>
      <c r="B39" s="156"/>
      <c r="C39" s="25" t="s">
        <v>53</v>
      </c>
      <c r="D39" s="159" t="s">
        <v>131</v>
      </c>
      <c r="E39" s="159"/>
      <c r="F39" s="26" t="s">
        <v>15</v>
      </c>
      <c r="G39" s="27">
        <f t="shared" si="0"/>
        <v>10</v>
      </c>
      <c r="H39" s="28" t="s">
        <v>203</v>
      </c>
      <c r="I39" s="29"/>
      <c r="J39" s="23">
        <f t="shared" si="1"/>
        <v>0</v>
      </c>
      <c r="K39" s="30"/>
      <c r="L39" s="30"/>
      <c r="M39" s="30" t="str">
        <f>IF(OR(I39="취약",I39="수동점검"),대응방안!G31,"-")</f>
        <v>-</v>
      </c>
      <c r="N39" s="30"/>
      <c r="O39" s="113"/>
      <c r="P39" s="116">
        <f t="shared" si="2"/>
        <v>0</v>
      </c>
      <c r="Q39" s="109"/>
      <c r="R39" s="104"/>
      <c r="S39" s="5"/>
      <c r="T39" s="5"/>
      <c r="U39" s="5"/>
      <c r="V39" s="5"/>
      <c r="W39" s="5"/>
      <c r="X39" s="5"/>
    </row>
    <row r="40" spans="1:24" ht="48" x14ac:dyDescent="0.3">
      <c r="A40" s="5"/>
      <c r="B40" s="156"/>
      <c r="C40" s="25" t="s">
        <v>54</v>
      </c>
      <c r="D40" s="159" t="s">
        <v>132</v>
      </c>
      <c r="E40" s="159"/>
      <c r="F40" s="26" t="s">
        <v>17</v>
      </c>
      <c r="G40" s="27">
        <f t="shared" si="0"/>
        <v>6</v>
      </c>
      <c r="H40" s="28" t="s">
        <v>204</v>
      </c>
      <c r="I40" s="29"/>
      <c r="J40" s="23">
        <f t="shared" si="1"/>
        <v>0</v>
      </c>
      <c r="K40" s="30"/>
      <c r="L40" s="30"/>
      <c r="M40" s="30" t="str">
        <f>IF(OR(I40="취약",I40="수동점검"),대응방안!G32,"-")</f>
        <v>-</v>
      </c>
      <c r="N40" s="30"/>
      <c r="O40" s="113"/>
      <c r="P40" s="116">
        <f t="shared" si="2"/>
        <v>0</v>
      </c>
      <c r="Q40" s="109"/>
      <c r="R40" s="104"/>
      <c r="S40" s="5"/>
      <c r="T40" s="5"/>
      <c r="U40" s="5"/>
      <c r="V40" s="5"/>
      <c r="W40" s="5"/>
      <c r="X40" s="5"/>
    </row>
    <row r="41" spans="1:24" ht="24" x14ac:dyDescent="0.3">
      <c r="A41" s="5"/>
      <c r="B41" s="156"/>
      <c r="C41" s="25" t="s">
        <v>55</v>
      </c>
      <c r="D41" s="159" t="s">
        <v>133</v>
      </c>
      <c r="E41" s="159"/>
      <c r="F41" s="26" t="s">
        <v>16</v>
      </c>
      <c r="G41" s="27">
        <f t="shared" si="0"/>
        <v>8</v>
      </c>
      <c r="H41" s="28" t="s">
        <v>205</v>
      </c>
      <c r="I41" s="29"/>
      <c r="J41" s="23">
        <f t="shared" si="1"/>
        <v>0</v>
      </c>
      <c r="K41" s="30"/>
      <c r="L41" s="30"/>
      <c r="M41" s="30" t="str">
        <f>IF(OR(I41="취약",I41="수동점검"),대응방안!G33,"-")</f>
        <v>-</v>
      </c>
      <c r="N41" s="30"/>
      <c r="O41" s="113"/>
      <c r="P41" s="116">
        <f t="shared" si="2"/>
        <v>0</v>
      </c>
      <c r="Q41" s="109"/>
      <c r="R41" s="104"/>
      <c r="S41" s="5"/>
      <c r="T41" s="5"/>
      <c r="U41" s="5"/>
      <c r="V41" s="5"/>
      <c r="W41" s="5"/>
      <c r="X41" s="5"/>
    </row>
    <row r="42" spans="1:24" ht="24" x14ac:dyDescent="0.3">
      <c r="A42" s="5"/>
      <c r="B42" s="156"/>
      <c r="C42" s="25" t="s">
        <v>56</v>
      </c>
      <c r="D42" s="159" t="s">
        <v>134</v>
      </c>
      <c r="E42" s="159"/>
      <c r="F42" s="26" t="s">
        <v>16</v>
      </c>
      <c r="G42" s="27">
        <f t="shared" si="0"/>
        <v>8</v>
      </c>
      <c r="H42" s="28" t="s">
        <v>206</v>
      </c>
      <c r="I42" s="29"/>
      <c r="J42" s="23">
        <f t="shared" si="1"/>
        <v>0</v>
      </c>
      <c r="K42" s="30"/>
      <c r="L42" s="30"/>
      <c r="M42" s="30" t="str">
        <f>IF(OR(I42="취약",I42="수동점검"),대응방안!G34,"-")</f>
        <v>-</v>
      </c>
      <c r="N42" s="30"/>
      <c r="O42" s="113"/>
      <c r="P42" s="116">
        <f t="shared" si="2"/>
        <v>0</v>
      </c>
      <c r="Q42" s="109"/>
      <c r="R42" s="104"/>
      <c r="S42" s="5"/>
      <c r="T42" s="5"/>
      <c r="U42" s="5"/>
      <c r="V42" s="5"/>
      <c r="W42" s="5"/>
      <c r="X42" s="5"/>
    </row>
    <row r="43" spans="1:24" ht="24" x14ac:dyDescent="0.3">
      <c r="A43" s="5"/>
      <c r="B43" s="156"/>
      <c r="C43" s="25" t="s">
        <v>57</v>
      </c>
      <c r="D43" s="159" t="s">
        <v>135</v>
      </c>
      <c r="E43" s="159"/>
      <c r="F43" s="26" t="s">
        <v>16</v>
      </c>
      <c r="G43" s="27">
        <f t="shared" si="0"/>
        <v>8</v>
      </c>
      <c r="H43" s="28" t="s">
        <v>207</v>
      </c>
      <c r="I43" s="29"/>
      <c r="J43" s="23">
        <f t="shared" si="1"/>
        <v>0</v>
      </c>
      <c r="K43" s="30"/>
      <c r="L43" s="30"/>
      <c r="M43" s="30" t="str">
        <f>IF(OR(I43="취약",I43="수동점검"),대응방안!G35,"-")</f>
        <v>-</v>
      </c>
      <c r="N43" s="30"/>
      <c r="O43" s="113"/>
      <c r="P43" s="116">
        <f t="shared" si="2"/>
        <v>0</v>
      </c>
      <c r="Q43" s="109"/>
      <c r="R43" s="104"/>
      <c r="S43" s="5"/>
      <c r="T43" s="5"/>
      <c r="U43" s="5"/>
      <c r="V43" s="5"/>
      <c r="W43" s="5"/>
      <c r="X43" s="5"/>
    </row>
    <row r="44" spans="1:24" ht="24" x14ac:dyDescent="0.3">
      <c r="A44" s="5"/>
      <c r="B44" s="157"/>
      <c r="C44" s="31" t="s">
        <v>58</v>
      </c>
      <c r="D44" s="153" t="s">
        <v>136</v>
      </c>
      <c r="E44" s="153"/>
      <c r="F44" s="32" t="s">
        <v>17</v>
      </c>
      <c r="G44" s="27">
        <f t="shared" si="0"/>
        <v>6</v>
      </c>
      <c r="H44" s="33" t="s">
        <v>208</v>
      </c>
      <c r="I44" s="34"/>
      <c r="J44" s="23">
        <f t="shared" si="1"/>
        <v>0</v>
      </c>
      <c r="K44" s="35"/>
      <c r="L44" s="35"/>
      <c r="M44" s="35" t="str">
        <f>IF(OR(I44="취약",I44="수동점검"),대응방안!G36,"-")</f>
        <v>-</v>
      </c>
      <c r="N44" s="35"/>
      <c r="O44" s="114"/>
      <c r="P44" s="117">
        <f t="shared" si="2"/>
        <v>0</v>
      </c>
      <c r="Q44" s="110"/>
      <c r="R44" s="105"/>
      <c r="S44" s="5"/>
      <c r="T44" s="5"/>
      <c r="U44" s="5"/>
      <c r="V44" s="5"/>
      <c r="W44" s="5"/>
      <c r="X44" s="5"/>
    </row>
    <row r="45" spans="1:24" ht="24" x14ac:dyDescent="0.3">
      <c r="A45" s="5"/>
      <c r="B45" s="155" t="s">
        <v>19</v>
      </c>
      <c r="C45" s="18" t="s">
        <v>59</v>
      </c>
      <c r="D45" s="158" t="s">
        <v>137</v>
      </c>
      <c r="E45" s="158"/>
      <c r="F45" s="19" t="s">
        <v>15</v>
      </c>
      <c r="G45" s="27">
        <f t="shared" si="0"/>
        <v>10</v>
      </c>
      <c r="H45" s="21" t="s">
        <v>209</v>
      </c>
      <c r="I45" s="22"/>
      <c r="J45" s="23">
        <f t="shared" si="1"/>
        <v>0</v>
      </c>
      <c r="K45" s="24"/>
      <c r="L45" s="24"/>
      <c r="M45" s="24" t="str">
        <f>IF(OR(I45="취약",I45="수동점검"),대응방안!G37,"-")</f>
        <v>-</v>
      </c>
      <c r="N45" s="24"/>
      <c r="O45" s="112"/>
      <c r="P45" s="23">
        <f t="shared" si="2"/>
        <v>0</v>
      </c>
      <c r="Q45" s="108"/>
      <c r="R45" s="103"/>
      <c r="S45" s="5"/>
      <c r="T45" s="5"/>
      <c r="U45" s="5"/>
      <c r="V45" s="5"/>
      <c r="W45" s="5"/>
      <c r="X45" s="5"/>
    </row>
    <row r="46" spans="1:24" ht="24" x14ac:dyDescent="0.3">
      <c r="A46" s="5"/>
      <c r="B46" s="156"/>
      <c r="C46" s="25" t="s">
        <v>60</v>
      </c>
      <c r="D46" s="159" t="s">
        <v>138</v>
      </c>
      <c r="E46" s="159"/>
      <c r="F46" s="26" t="s">
        <v>15</v>
      </c>
      <c r="G46" s="27">
        <f t="shared" si="0"/>
        <v>10</v>
      </c>
      <c r="H46" s="28" t="s">
        <v>210</v>
      </c>
      <c r="I46" s="29"/>
      <c r="J46" s="23">
        <f t="shared" si="1"/>
        <v>0</v>
      </c>
      <c r="K46" s="30"/>
      <c r="L46" s="30"/>
      <c r="M46" s="30" t="str">
        <f>IF(OR(I46="취약",I46="수동점검"),대응방안!G38,"-")</f>
        <v>-</v>
      </c>
      <c r="N46" s="30"/>
      <c r="O46" s="113"/>
      <c r="P46" s="116">
        <f t="shared" si="2"/>
        <v>0</v>
      </c>
      <c r="Q46" s="109"/>
      <c r="R46" s="104"/>
      <c r="S46" s="5"/>
      <c r="T46" s="5"/>
      <c r="U46" s="5"/>
      <c r="V46" s="5"/>
      <c r="W46" s="5"/>
      <c r="X46" s="5"/>
    </row>
    <row r="47" spans="1:24" ht="24" x14ac:dyDescent="0.3">
      <c r="A47" s="5"/>
      <c r="B47" s="156"/>
      <c r="C47" s="25" t="s">
        <v>61</v>
      </c>
      <c r="D47" s="159" t="s">
        <v>139</v>
      </c>
      <c r="E47" s="159"/>
      <c r="F47" s="26" t="s">
        <v>15</v>
      </c>
      <c r="G47" s="27">
        <f t="shared" si="0"/>
        <v>10</v>
      </c>
      <c r="H47" s="28" t="s">
        <v>211</v>
      </c>
      <c r="I47" s="29"/>
      <c r="J47" s="23">
        <f t="shared" si="1"/>
        <v>0</v>
      </c>
      <c r="K47" s="30"/>
      <c r="L47" s="30"/>
      <c r="M47" s="30" t="str">
        <f>IF(OR(I47="취약",I47="수동점검"),대응방안!G39,"-")</f>
        <v>-</v>
      </c>
      <c r="N47" s="30"/>
      <c r="O47" s="113"/>
      <c r="P47" s="116">
        <f t="shared" si="2"/>
        <v>0</v>
      </c>
      <c r="Q47" s="109"/>
      <c r="R47" s="104"/>
      <c r="S47" s="5"/>
      <c r="T47" s="5"/>
      <c r="U47" s="5"/>
      <c r="V47" s="5"/>
      <c r="W47" s="5"/>
      <c r="X47" s="5"/>
    </row>
    <row r="48" spans="1:24" ht="48" x14ac:dyDescent="0.3">
      <c r="A48" s="5"/>
      <c r="B48" s="156"/>
      <c r="C48" s="25" t="s">
        <v>62</v>
      </c>
      <c r="D48" s="159" t="s">
        <v>140</v>
      </c>
      <c r="E48" s="159"/>
      <c r="F48" s="26" t="s">
        <v>15</v>
      </c>
      <c r="G48" s="27">
        <f t="shared" si="0"/>
        <v>10</v>
      </c>
      <c r="H48" s="28" t="s">
        <v>212</v>
      </c>
      <c r="I48" s="29"/>
      <c r="J48" s="23">
        <f t="shared" si="1"/>
        <v>0</v>
      </c>
      <c r="K48" s="30"/>
      <c r="L48" s="30"/>
      <c r="M48" s="30" t="str">
        <f>IF(OR(I48="취약",I48="수동점검"),대응방안!G40,"-")</f>
        <v>-</v>
      </c>
      <c r="N48" s="30"/>
      <c r="O48" s="113"/>
      <c r="P48" s="116">
        <f t="shared" si="2"/>
        <v>0</v>
      </c>
      <c r="Q48" s="109"/>
      <c r="R48" s="104"/>
      <c r="S48" s="5"/>
      <c r="T48" s="5"/>
      <c r="U48" s="5"/>
      <c r="V48" s="5"/>
      <c r="W48" s="5"/>
      <c r="X48" s="5"/>
    </row>
    <row r="49" spans="1:24" ht="24" x14ac:dyDescent="0.3">
      <c r="A49" s="5"/>
      <c r="B49" s="156"/>
      <c r="C49" s="25" t="s">
        <v>63</v>
      </c>
      <c r="D49" s="159" t="s">
        <v>141</v>
      </c>
      <c r="E49" s="159"/>
      <c r="F49" s="26" t="s">
        <v>15</v>
      </c>
      <c r="G49" s="27">
        <f t="shared" si="0"/>
        <v>10</v>
      </c>
      <c r="H49" s="28" t="s">
        <v>213</v>
      </c>
      <c r="I49" s="29"/>
      <c r="J49" s="23">
        <f t="shared" si="1"/>
        <v>0</v>
      </c>
      <c r="K49" s="30"/>
      <c r="L49" s="30"/>
      <c r="M49" s="30" t="str">
        <f>IF(OR(I49="취약",I49="수동점검"),대응방안!G41,"-")</f>
        <v>-</v>
      </c>
      <c r="N49" s="30"/>
      <c r="O49" s="113"/>
      <c r="P49" s="116">
        <f t="shared" si="2"/>
        <v>0</v>
      </c>
      <c r="Q49" s="109"/>
      <c r="R49" s="104"/>
      <c r="S49" s="5"/>
      <c r="T49" s="5"/>
      <c r="U49" s="5"/>
      <c r="V49" s="5"/>
      <c r="W49" s="5"/>
      <c r="X49" s="5"/>
    </row>
    <row r="50" spans="1:24" ht="24" x14ac:dyDescent="0.3">
      <c r="A50" s="5"/>
      <c r="B50" s="156"/>
      <c r="C50" s="25" t="s">
        <v>64</v>
      </c>
      <c r="D50" s="159" t="s">
        <v>142</v>
      </c>
      <c r="E50" s="159"/>
      <c r="F50" s="26" t="s">
        <v>15</v>
      </c>
      <c r="G50" s="27">
        <f t="shared" si="0"/>
        <v>10</v>
      </c>
      <c r="H50" s="28" t="s">
        <v>143</v>
      </c>
      <c r="I50" s="29"/>
      <c r="J50" s="23">
        <f t="shared" si="1"/>
        <v>0</v>
      </c>
      <c r="K50" s="30"/>
      <c r="L50" s="30"/>
      <c r="M50" s="30" t="str">
        <f>IF(OR(I50="취약",I50="수동점검"),대응방안!G42,"-")</f>
        <v>-</v>
      </c>
      <c r="N50" s="30"/>
      <c r="O50" s="113"/>
      <c r="P50" s="116">
        <f t="shared" si="2"/>
        <v>0</v>
      </c>
      <c r="Q50" s="109"/>
      <c r="R50" s="104"/>
      <c r="S50" s="5"/>
      <c r="T50" s="5"/>
      <c r="U50" s="5"/>
      <c r="V50" s="5"/>
      <c r="W50" s="5"/>
      <c r="X50" s="5"/>
    </row>
    <row r="51" spans="1:24" ht="24" x14ac:dyDescent="0.3">
      <c r="A51" s="5"/>
      <c r="B51" s="156"/>
      <c r="C51" s="25" t="s">
        <v>65</v>
      </c>
      <c r="D51" s="159" t="s">
        <v>144</v>
      </c>
      <c r="E51" s="159"/>
      <c r="F51" s="26" t="s">
        <v>15</v>
      </c>
      <c r="G51" s="27">
        <f t="shared" si="0"/>
        <v>10</v>
      </c>
      <c r="H51" s="28" t="s">
        <v>214</v>
      </c>
      <c r="I51" s="29"/>
      <c r="J51" s="23">
        <f t="shared" si="1"/>
        <v>0</v>
      </c>
      <c r="K51" s="30"/>
      <c r="L51" s="30"/>
      <c r="M51" s="30" t="str">
        <f>IF(OR(I51="취약",I51="수동점검"),대응방안!G43,"-")</f>
        <v>-</v>
      </c>
      <c r="N51" s="30"/>
      <c r="O51" s="113"/>
      <c r="P51" s="116">
        <f t="shared" si="2"/>
        <v>0</v>
      </c>
      <c r="Q51" s="109"/>
      <c r="R51" s="104"/>
      <c r="S51" s="5"/>
      <c r="T51" s="5"/>
      <c r="U51" s="5"/>
      <c r="V51" s="5"/>
      <c r="W51" s="5"/>
      <c r="X51" s="5"/>
    </row>
    <row r="52" spans="1:24" ht="24" x14ac:dyDescent="0.3">
      <c r="A52" s="5"/>
      <c r="B52" s="156"/>
      <c r="C52" s="25" t="s">
        <v>66</v>
      </c>
      <c r="D52" s="159" t="s">
        <v>145</v>
      </c>
      <c r="E52" s="159"/>
      <c r="F52" s="26" t="s">
        <v>15</v>
      </c>
      <c r="G52" s="27">
        <f t="shared" si="0"/>
        <v>10</v>
      </c>
      <c r="H52" s="28" t="s">
        <v>215</v>
      </c>
      <c r="I52" s="29"/>
      <c r="J52" s="23">
        <f t="shared" si="1"/>
        <v>0</v>
      </c>
      <c r="K52" s="30"/>
      <c r="L52" s="30"/>
      <c r="M52" s="30" t="str">
        <f>IF(OR(I52="취약",I52="수동점검"),대응방안!G44,"-")</f>
        <v>-</v>
      </c>
      <c r="N52" s="30"/>
      <c r="O52" s="113"/>
      <c r="P52" s="116">
        <f t="shared" si="2"/>
        <v>0</v>
      </c>
      <c r="Q52" s="109"/>
      <c r="R52" s="104"/>
      <c r="S52" s="5"/>
      <c r="T52" s="5"/>
      <c r="U52" s="5"/>
      <c r="V52" s="5"/>
      <c r="W52" s="5"/>
      <c r="X52" s="5"/>
    </row>
    <row r="53" spans="1:24" ht="24" x14ac:dyDescent="0.3">
      <c r="A53" s="5"/>
      <c r="B53" s="156"/>
      <c r="C53" s="25" t="s">
        <v>67</v>
      </c>
      <c r="D53" s="159" t="s">
        <v>146</v>
      </c>
      <c r="E53" s="159"/>
      <c r="F53" s="26" t="s">
        <v>15</v>
      </c>
      <c r="G53" s="27">
        <f t="shared" si="0"/>
        <v>10</v>
      </c>
      <c r="H53" s="28" t="s">
        <v>216</v>
      </c>
      <c r="I53" s="29"/>
      <c r="J53" s="23">
        <f t="shared" si="1"/>
        <v>0</v>
      </c>
      <c r="K53" s="30"/>
      <c r="L53" s="30"/>
      <c r="M53" s="30" t="str">
        <f>IF(OR(I53="취약",I53="수동점검"),대응방안!G45,"-")</f>
        <v>-</v>
      </c>
      <c r="N53" s="30"/>
      <c r="O53" s="113"/>
      <c r="P53" s="116">
        <f t="shared" si="2"/>
        <v>0</v>
      </c>
      <c r="Q53" s="109"/>
      <c r="R53" s="104"/>
      <c r="S53" s="5"/>
      <c r="T53" s="5"/>
      <c r="U53" s="5"/>
      <c r="V53" s="5"/>
      <c r="W53" s="5"/>
      <c r="X53" s="5"/>
    </row>
    <row r="54" spans="1:24" ht="24" x14ac:dyDescent="0.3">
      <c r="A54" s="5"/>
      <c r="B54" s="156"/>
      <c r="C54" s="25" t="s">
        <v>68</v>
      </c>
      <c r="D54" s="159" t="s">
        <v>147</v>
      </c>
      <c r="E54" s="159"/>
      <c r="F54" s="26" t="s">
        <v>15</v>
      </c>
      <c r="G54" s="27">
        <f t="shared" si="0"/>
        <v>10</v>
      </c>
      <c r="H54" s="28" t="s">
        <v>217</v>
      </c>
      <c r="I54" s="29"/>
      <c r="J54" s="23">
        <f t="shared" si="1"/>
        <v>0</v>
      </c>
      <c r="K54" s="30"/>
      <c r="L54" s="30"/>
      <c r="M54" s="30" t="str">
        <f>IF(OR(I54="취약",I54="수동점검"),대응방안!G46,"-")</f>
        <v>-</v>
      </c>
      <c r="N54" s="30"/>
      <c r="O54" s="113"/>
      <c r="P54" s="116">
        <f t="shared" si="2"/>
        <v>0</v>
      </c>
      <c r="Q54" s="109"/>
      <c r="R54" s="104"/>
      <c r="S54" s="5"/>
      <c r="T54" s="5"/>
      <c r="U54" s="5"/>
      <c r="V54" s="5"/>
      <c r="W54" s="5"/>
      <c r="X54" s="5"/>
    </row>
    <row r="55" spans="1:24" ht="24" x14ac:dyDescent="0.3">
      <c r="A55" s="5"/>
      <c r="B55" s="156"/>
      <c r="C55" s="25" t="s">
        <v>69</v>
      </c>
      <c r="D55" s="159" t="s">
        <v>148</v>
      </c>
      <c r="E55" s="159"/>
      <c r="F55" s="26" t="s">
        <v>15</v>
      </c>
      <c r="G55" s="27">
        <f t="shared" si="0"/>
        <v>10</v>
      </c>
      <c r="H55" s="28" t="s">
        <v>218</v>
      </c>
      <c r="I55" s="29"/>
      <c r="J55" s="23">
        <f t="shared" si="1"/>
        <v>0</v>
      </c>
      <c r="K55" s="30"/>
      <c r="L55" s="30"/>
      <c r="M55" s="30" t="str">
        <f>IF(OR(I55="취약",I55="수동점검"),대응방안!G47,"-")</f>
        <v>-</v>
      </c>
      <c r="N55" s="30"/>
      <c r="O55" s="113"/>
      <c r="P55" s="116">
        <f t="shared" si="2"/>
        <v>0</v>
      </c>
      <c r="Q55" s="109"/>
      <c r="R55" s="104"/>
      <c r="S55" s="5"/>
      <c r="T55" s="5"/>
      <c r="U55" s="5"/>
      <c r="V55" s="5"/>
      <c r="W55" s="5"/>
      <c r="X55" s="5"/>
    </row>
    <row r="56" spans="1:24" ht="24" x14ac:dyDescent="0.3">
      <c r="A56" s="5"/>
      <c r="B56" s="156"/>
      <c r="C56" s="25" t="s">
        <v>70</v>
      </c>
      <c r="D56" s="159" t="s">
        <v>149</v>
      </c>
      <c r="E56" s="159"/>
      <c r="F56" s="26" t="s">
        <v>15</v>
      </c>
      <c r="G56" s="27">
        <f t="shared" si="0"/>
        <v>10</v>
      </c>
      <c r="H56" s="28" t="s">
        <v>150</v>
      </c>
      <c r="I56" s="29"/>
      <c r="J56" s="23">
        <f t="shared" si="1"/>
        <v>0</v>
      </c>
      <c r="K56" s="30"/>
      <c r="L56" s="30"/>
      <c r="M56" s="30" t="str">
        <f>IF(OR(I56="취약",I56="수동점검"),대응방안!G48,"-")</f>
        <v>-</v>
      </c>
      <c r="N56" s="30"/>
      <c r="O56" s="113"/>
      <c r="P56" s="116">
        <f t="shared" si="2"/>
        <v>0</v>
      </c>
      <c r="Q56" s="109"/>
      <c r="R56" s="104"/>
      <c r="S56" s="5"/>
      <c r="T56" s="5"/>
      <c r="U56" s="5"/>
      <c r="V56" s="5"/>
      <c r="W56" s="5"/>
      <c r="X56" s="5"/>
    </row>
    <row r="57" spans="1:24" ht="24" x14ac:dyDescent="0.3">
      <c r="A57" s="5"/>
      <c r="B57" s="156"/>
      <c r="C57" s="25" t="s">
        <v>71</v>
      </c>
      <c r="D57" s="159" t="s">
        <v>151</v>
      </c>
      <c r="E57" s="159"/>
      <c r="F57" s="26" t="s">
        <v>15</v>
      </c>
      <c r="G57" s="27">
        <f t="shared" si="0"/>
        <v>10</v>
      </c>
      <c r="H57" s="28" t="s">
        <v>219</v>
      </c>
      <c r="I57" s="29"/>
      <c r="J57" s="23">
        <f t="shared" si="1"/>
        <v>0</v>
      </c>
      <c r="K57" s="30"/>
      <c r="L57" s="30"/>
      <c r="M57" s="30" t="str">
        <f>IF(OR(I57="취약",I57="수동점검"),대응방안!G49,"-")</f>
        <v>-</v>
      </c>
      <c r="N57" s="30"/>
      <c r="O57" s="113"/>
      <c r="P57" s="116">
        <f t="shared" si="2"/>
        <v>0</v>
      </c>
      <c r="Q57" s="109"/>
      <c r="R57" s="104"/>
      <c r="S57" s="5"/>
      <c r="T57" s="5"/>
      <c r="U57" s="5"/>
      <c r="V57" s="5"/>
      <c r="W57" s="5"/>
      <c r="X57" s="5"/>
    </row>
    <row r="58" spans="1:24" ht="24" x14ac:dyDescent="0.3">
      <c r="A58" s="5"/>
      <c r="B58" s="156"/>
      <c r="C58" s="25" t="s">
        <v>72</v>
      </c>
      <c r="D58" s="159" t="s">
        <v>152</v>
      </c>
      <c r="E58" s="159"/>
      <c r="F58" s="26" t="s">
        <v>15</v>
      </c>
      <c r="G58" s="27">
        <f t="shared" si="0"/>
        <v>10</v>
      </c>
      <c r="H58" s="28" t="s">
        <v>220</v>
      </c>
      <c r="I58" s="29"/>
      <c r="J58" s="23">
        <f t="shared" si="1"/>
        <v>0</v>
      </c>
      <c r="K58" s="30"/>
      <c r="L58" s="30"/>
      <c r="M58" s="30" t="str">
        <f>IF(OR(I58="취약",I58="수동점검"),대응방안!G50,"-")</f>
        <v>-</v>
      </c>
      <c r="N58" s="30"/>
      <c r="O58" s="113"/>
      <c r="P58" s="116">
        <f t="shared" si="2"/>
        <v>0</v>
      </c>
      <c r="Q58" s="109"/>
      <c r="R58" s="104"/>
      <c r="S58" s="5"/>
      <c r="T58" s="5"/>
      <c r="U58" s="5"/>
      <c r="V58" s="5"/>
      <c r="W58" s="5"/>
      <c r="X58" s="5"/>
    </row>
    <row r="59" spans="1:24" ht="24" x14ac:dyDescent="0.3">
      <c r="A59" s="5"/>
      <c r="B59" s="156"/>
      <c r="C59" s="25" t="s">
        <v>73</v>
      </c>
      <c r="D59" s="159" t="s">
        <v>153</v>
      </c>
      <c r="E59" s="159"/>
      <c r="F59" s="26" t="s">
        <v>16</v>
      </c>
      <c r="G59" s="27">
        <f t="shared" si="0"/>
        <v>8</v>
      </c>
      <c r="H59" s="28" t="s">
        <v>154</v>
      </c>
      <c r="I59" s="29"/>
      <c r="J59" s="23">
        <f t="shared" si="1"/>
        <v>0</v>
      </c>
      <c r="K59" s="30"/>
      <c r="L59" s="30"/>
      <c r="M59" s="30" t="str">
        <f>IF(OR(I59="취약",I59="수동점검"),대응방안!G51,"-")</f>
        <v>-</v>
      </c>
      <c r="N59" s="30"/>
      <c r="O59" s="113"/>
      <c r="P59" s="116">
        <f t="shared" si="2"/>
        <v>0</v>
      </c>
      <c r="Q59" s="109"/>
      <c r="R59" s="104"/>
      <c r="S59" s="5"/>
      <c r="T59" s="5"/>
      <c r="U59" s="5"/>
      <c r="V59" s="5"/>
      <c r="W59" s="5"/>
      <c r="X59" s="5"/>
    </row>
    <row r="60" spans="1:24" ht="24" x14ac:dyDescent="0.3">
      <c r="A60" s="5"/>
      <c r="B60" s="156"/>
      <c r="C60" s="25" t="s">
        <v>74</v>
      </c>
      <c r="D60" s="159" t="s">
        <v>155</v>
      </c>
      <c r="E60" s="159"/>
      <c r="F60" s="26" t="s">
        <v>15</v>
      </c>
      <c r="G60" s="27">
        <f t="shared" si="0"/>
        <v>10</v>
      </c>
      <c r="H60" s="28" t="s">
        <v>156</v>
      </c>
      <c r="I60" s="29"/>
      <c r="J60" s="23">
        <f t="shared" si="1"/>
        <v>0</v>
      </c>
      <c r="K60" s="30"/>
      <c r="L60" s="30"/>
      <c r="M60" s="30" t="str">
        <f>IF(OR(I60="취약",I60="수동점검"),대응방안!G52,"-")</f>
        <v>-</v>
      </c>
      <c r="N60" s="30"/>
      <c r="O60" s="113"/>
      <c r="P60" s="116">
        <f t="shared" si="2"/>
        <v>0</v>
      </c>
      <c r="Q60" s="109"/>
      <c r="R60" s="104"/>
      <c r="S60" s="5"/>
      <c r="T60" s="5"/>
      <c r="U60" s="5"/>
      <c r="V60" s="5"/>
      <c r="W60" s="5"/>
      <c r="X60" s="5"/>
    </row>
    <row r="61" spans="1:24" ht="24" x14ac:dyDescent="0.3">
      <c r="A61" s="5"/>
      <c r="B61" s="156"/>
      <c r="C61" s="25" t="s">
        <v>75</v>
      </c>
      <c r="D61" s="159" t="s">
        <v>157</v>
      </c>
      <c r="E61" s="159"/>
      <c r="F61" s="26" t="s">
        <v>15</v>
      </c>
      <c r="G61" s="27">
        <f t="shared" si="0"/>
        <v>10</v>
      </c>
      <c r="H61" s="28" t="s">
        <v>158</v>
      </c>
      <c r="I61" s="29"/>
      <c r="J61" s="23">
        <f t="shared" si="1"/>
        <v>0</v>
      </c>
      <c r="K61" s="30"/>
      <c r="L61" s="30"/>
      <c r="M61" s="30" t="str">
        <f>IF(OR(I61="취약",I61="수동점검"),대응방안!G53,"-")</f>
        <v>-</v>
      </c>
      <c r="N61" s="30"/>
      <c r="O61" s="113"/>
      <c r="P61" s="116">
        <f t="shared" si="2"/>
        <v>0</v>
      </c>
      <c r="Q61" s="109"/>
      <c r="R61" s="104"/>
      <c r="S61" s="5"/>
      <c r="T61" s="5"/>
      <c r="U61" s="5"/>
      <c r="V61" s="5"/>
      <c r="W61" s="5"/>
      <c r="X61" s="5"/>
    </row>
    <row r="62" spans="1:24" ht="48" x14ac:dyDescent="0.3">
      <c r="A62" s="5"/>
      <c r="B62" s="156"/>
      <c r="C62" s="25" t="s">
        <v>76</v>
      </c>
      <c r="D62" s="159" t="s">
        <v>159</v>
      </c>
      <c r="E62" s="159"/>
      <c r="F62" s="26" t="s">
        <v>16</v>
      </c>
      <c r="G62" s="27">
        <f t="shared" si="0"/>
        <v>8</v>
      </c>
      <c r="H62" s="28" t="s">
        <v>221</v>
      </c>
      <c r="I62" s="29"/>
      <c r="J62" s="23">
        <f t="shared" si="1"/>
        <v>0</v>
      </c>
      <c r="K62" s="30"/>
      <c r="L62" s="30"/>
      <c r="M62" s="30" t="str">
        <f>IF(OR(I62="취약",I62="수동점검"),대응방안!G54,"-")</f>
        <v>-</v>
      </c>
      <c r="N62" s="30"/>
      <c r="O62" s="113"/>
      <c r="P62" s="116">
        <f t="shared" si="2"/>
        <v>0</v>
      </c>
      <c r="Q62" s="109"/>
      <c r="R62" s="104"/>
      <c r="S62" s="5"/>
      <c r="T62" s="5"/>
      <c r="U62" s="5"/>
      <c r="V62" s="5"/>
      <c r="W62" s="5"/>
      <c r="X62" s="5"/>
    </row>
    <row r="63" spans="1:24" ht="24" x14ac:dyDescent="0.3">
      <c r="A63" s="5"/>
      <c r="B63" s="156"/>
      <c r="C63" s="25" t="s">
        <v>77</v>
      </c>
      <c r="D63" s="159" t="s">
        <v>160</v>
      </c>
      <c r="E63" s="159"/>
      <c r="F63" s="26" t="s">
        <v>16</v>
      </c>
      <c r="G63" s="27">
        <f t="shared" si="0"/>
        <v>8</v>
      </c>
      <c r="H63" s="28" t="s">
        <v>222</v>
      </c>
      <c r="I63" s="29"/>
      <c r="J63" s="23">
        <f t="shared" si="1"/>
        <v>0</v>
      </c>
      <c r="K63" s="30"/>
      <c r="L63" s="30"/>
      <c r="M63" s="30" t="str">
        <f>IF(OR(I63="취약",I63="수동점검"),대응방안!G55,"-")</f>
        <v>-</v>
      </c>
      <c r="N63" s="30"/>
      <c r="O63" s="113"/>
      <c r="P63" s="116">
        <f t="shared" si="2"/>
        <v>0</v>
      </c>
      <c r="Q63" s="109"/>
      <c r="R63" s="104"/>
      <c r="S63" s="5"/>
      <c r="T63" s="5"/>
      <c r="U63" s="5"/>
      <c r="V63" s="5"/>
      <c r="W63" s="5"/>
      <c r="X63" s="5"/>
    </row>
    <row r="64" spans="1:24" ht="24" x14ac:dyDescent="0.3">
      <c r="A64" s="5"/>
      <c r="B64" s="156"/>
      <c r="C64" s="25" t="s">
        <v>78</v>
      </c>
      <c r="D64" s="159" t="s">
        <v>161</v>
      </c>
      <c r="E64" s="159"/>
      <c r="F64" s="26" t="s">
        <v>17</v>
      </c>
      <c r="G64" s="27">
        <f t="shared" si="0"/>
        <v>6</v>
      </c>
      <c r="H64" s="28" t="s">
        <v>223</v>
      </c>
      <c r="I64" s="29"/>
      <c r="J64" s="23">
        <f t="shared" si="1"/>
        <v>0</v>
      </c>
      <c r="K64" s="30"/>
      <c r="L64" s="30"/>
      <c r="M64" s="30" t="str">
        <f>IF(OR(I64="취약",I64="수동점검"),대응방안!G56,"-")</f>
        <v>-</v>
      </c>
      <c r="N64" s="30"/>
      <c r="O64" s="113"/>
      <c r="P64" s="116">
        <f t="shared" si="2"/>
        <v>0</v>
      </c>
      <c r="Q64" s="109"/>
      <c r="R64" s="104"/>
      <c r="S64" s="5"/>
      <c r="T64" s="5"/>
      <c r="U64" s="5"/>
      <c r="V64" s="5"/>
      <c r="W64" s="5"/>
      <c r="X64" s="5"/>
    </row>
    <row r="65" spans="1:24" ht="24" x14ac:dyDescent="0.3">
      <c r="A65" s="5"/>
      <c r="B65" s="156"/>
      <c r="C65" s="25" t="s">
        <v>79</v>
      </c>
      <c r="D65" s="159" t="s">
        <v>162</v>
      </c>
      <c r="E65" s="159"/>
      <c r="F65" s="26" t="s">
        <v>16</v>
      </c>
      <c r="G65" s="27">
        <f t="shared" si="0"/>
        <v>8</v>
      </c>
      <c r="H65" s="28" t="s">
        <v>224</v>
      </c>
      <c r="I65" s="29"/>
      <c r="J65" s="23">
        <f t="shared" si="1"/>
        <v>0</v>
      </c>
      <c r="K65" s="30"/>
      <c r="L65" s="30"/>
      <c r="M65" s="30" t="str">
        <f>IF(OR(I65="취약",I65="수동점검"),대응방안!G57,"-")</f>
        <v>-</v>
      </c>
      <c r="N65" s="30"/>
      <c r="O65" s="113"/>
      <c r="P65" s="116">
        <f t="shared" si="2"/>
        <v>0</v>
      </c>
      <c r="Q65" s="109"/>
      <c r="R65" s="104"/>
      <c r="S65" s="5"/>
      <c r="T65" s="5"/>
      <c r="U65" s="5"/>
      <c r="V65" s="5"/>
      <c r="W65" s="5"/>
      <c r="X65" s="5"/>
    </row>
    <row r="66" spans="1:24" ht="24" x14ac:dyDescent="0.3">
      <c r="A66" s="5"/>
      <c r="B66" s="156"/>
      <c r="C66" s="25" t="s">
        <v>80</v>
      </c>
      <c r="D66" s="159" t="s">
        <v>163</v>
      </c>
      <c r="E66" s="159"/>
      <c r="F66" s="26" t="s">
        <v>16</v>
      </c>
      <c r="G66" s="27">
        <f t="shared" si="0"/>
        <v>8</v>
      </c>
      <c r="H66" s="28" t="s">
        <v>164</v>
      </c>
      <c r="I66" s="29"/>
      <c r="J66" s="23">
        <f t="shared" si="1"/>
        <v>0</v>
      </c>
      <c r="K66" s="30"/>
      <c r="L66" s="30"/>
      <c r="M66" s="30" t="str">
        <f>IF(OR(I66="취약",I66="수동점검"),대응방안!G58,"-")</f>
        <v>-</v>
      </c>
      <c r="N66" s="30"/>
      <c r="O66" s="113"/>
      <c r="P66" s="116">
        <f t="shared" si="2"/>
        <v>0</v>
      </c>
      <c r="Q66" s="109"/>
      <c r="R66" s="104"/>
      <c r="S66" s="5"/>
      <c r="T66" s="5"/>
      <c r="U66" s="5"/>
      <c r="V66" s="5"/>
      <c r="W66" s="5"/>
      <c r="X66" s="5"/>
    </row>
    <row r="67" spans="1:24" ht="36" x14ac:dyDescent="0.3">
      <c r="A67" s="5"/>
      <c r="B67" s="156"/>
      <c r="C67" s="25" t="s">
        <v>81</v>
      </c>
      <c r="D67" s="159" t="s">
        <v>165</v>
      </c>
      <c r="E67" s="159"/>
      <c r="F67" s="26" t="s">
        <v>17</v>
      </c>
      <c r="G67" s="27">
        <f t="shared" si="0"/>
        <v>6</v>
      </c>
      <c r="H67" s="28" t="s">
        <v>166</v>
      </c>
      <c r="I67" s="29"/>
      <c r="J67" s="23">
        <f t="shared" si="1"/>
        <v>0</v>
      </c>
      <c r="K67" s="30"/>
      <c r="L67" s="30"/>
      <c r="M67" s="30" t="str">
        <f>IF(OR(I67="취약",I67="수동점검"),대응방안!G59,"-")</f>
        <v>-</v>
      </c>
      <c r="N67" s="30"/>
      <c r="O67" s="113"/>
      <c r="P67" s="116">
        <f t="shared" si="2"/>
        <v>0</v>
      </c>
      <c r="Q67" s="109"/>
      <c r="R67" s="104"/>
      <c r="S67" s="5"/>
      <c r="T67" s="5"/>
      <c r="U67" s="5"/>
      <c r="V67" s="5"/>
      <c r="W67" s="5"/>
      <c r="X67" s="5"/>
    </row>
    <row r="68" spans="1:24" ht="24" x14ac:dyDescent="0.3">
      <c r="A68" s="5"/>
      <c r="B68" s="156"/>
      <c r="C68" s="25" t="s">
        <v>82</v>
      </c>
      <c r="D68" s="159" t="s">
        <v>167</v>
      </c>
      <c r="E68" s="159"/>
      <c r="F68" s="26" t="s">
        <v>16</v>
      </c>
      <c r="G68" s="27">
        <f t="shared" si="0"/>
        <v>8</v>
      </c>
      <c r="H68" s="28" t="s">
        <v>225</v>
      </c>
      <c r="I68" s="29"/>
      <c r="J68" s="23">
        <f t="shared" si="1"/>
        <v>0</v>
      </c>
      <c r="K68" s="30"/>
      <c r="L68" s="30"/>
      <c r="M68" s="30" t="str">
        <f>IF(OR(I68="취약",I68="수동점검"),대응방안!G60,"-")</f>
        <v>-</v>
      </c>
      <c r="N68" s="30"/>
      <c r="O68" s="113"/>
      <c r="P68" s="116">
        <f t="shared" si="2"/>
        <v>0</v>
      </c>
      <c r="Q68" s="109"/>
      <c r="R68" s="104"/>
      <c r="S68" s="5"/>
      <c r="T68" s="5"/>
      <c r="U68" s="5"/>
      <c r="V68" s="5"/>
      <c r="W68" s="5"/>
      <c r="X68" s="5"/>
    </row>
    <row r="69" spans="1:24" ht="24" x14ac:dyDescent="0.3">
      <c r="A69" s="5"/>
      <c r="B69" s="156"/>
      <c r="C69" s="25" t="s">
        <v>83</v>
      </c>
      <c r="D69" s="159" t="s">
        <v>168</v>
      </c>
      <c r="E69" s="159"/>
      <c r="F69" s="26" t="s">
        <v>16</v>
      </c>
      <c r="G69" s="27">
        <f t="shared" si="0"/>
        <v>8</v>
      </c>
      <c r="H69" s="28" t="s">
        <v>169</v>
      </c>
      <c r="I69" s="29"/>
      <c r="J69" s="23">
        <f t="shared" si="1"/>
        <v>0</v>
      </c>
      <c r="K69" s="30"/>
      <c r="L69" s="30"/>
      <c r="M69" s="30" t="str">
        <f>IF(OR(I69="취약",I69="수동점검"),대응방안!G61,"-")</f>
        <v>-</v>
      </c>
      <c r="N69" s="30"/>
      <c r="O69" s="113"/>
      <c r="P69" s="116">
        <f t="shared" si="2"/>
        <v>0</v>
      </c>
      <c r="Q69" s="109"/>
      <c r="R69" s="104"/>
      <c r="S69" s="5"/>
      <c r="T69" s="5"/>
      <c r="U69" s="5"/>
      <c r="V69" s="5"/>
      <c r="W69" s="5"/>
      <c r="X69" s="5"/>
    </row>
    <row r="70" spans="1:24" ht="24" x14ac:dyDescent="0.3">
      <c r="A70" s="5"/>
      <c r="B70" s="156"/>
      <c r="C70" s="25" t="s">
        <v>84</v>
      </c>
      <c r="D70" s="159" t="s">
        <v>170</v>
      </c>
      <c r="E70" s="159"/>
      <c r="F70" s="26" t="s">
        <v>15</v>
      </c>
      <c r="G70" s="27">
        <f t="shared" si="0"/>
        <v>10</v>
      </c>
      <c r="H70" s="28" t="s">
        <v>171</v>
      </c>
      <c r="I70" s="29"/>
      <c r="J70" s="23">
        <f t="shared" si="1"/>
        <v>0</v>
      </c>
      <c r="K70" s="30"/>
      <c r="L70" s="30"/>
      <c r="M70" s="30" t="str">
        <f>IF(OR(I70="취약",I70="수동점검"),대응방안!G62,"-")</f>
        <v>-</v>
      </c>
      <c r="N70" s="30"/>
      <c r="O70" s="113"/>
      <c r="P70" s="116">
        <f t="shared" si="2"/>
        <v>0</v>
      </c>
      <c r="Q70" s="109"/>
      <c r="R70" s="104"/>
      <c r="S70" s="5"/>
      <c r="T70" s="5"/>
      <c r="U70" s="5"/>
      <c r="V70" s="5"/>
      <c r="W70" s="5"/>
      <c r="X70" s="5"/>
    </row>
    <row r="71" spans="1:24" ht="96" x14ac:dyDescent="0.3">
      <c r="A71" s="5"/>
      <c r="B71" s="156"/>
      <c r="C71" s="25" t="s">
        <v>85</v>
      </c>
      <c r="D71" s="159" t="s">
        <v>172</v>
      </c>
      <c r="E71" s="159"/>
      <c r="F71" s="26" t="s">
        <v>16</v>
      </c>
      <c r="G71" s="27">
        <f t="shared" si="0"/>
        <v>8</v>
      </c>
      <c r="H71" s="28" t="s">
        <v>226</v>
      </c>
      <c r="I71" s="29"/>
      <c r="J71" s="23">
        <f t="shared" si="1"/>
        <v>0</v>
      </c>
      <c r="K71" s="30"/>
      <c r="L71" s="30"/>
      <c r="M71" s="30" t="str">
        <f>IF(OR(I71="취약",I71="수동점검"),대응방안!G63,"-")</f>
        <v>-</v>
      </c>
      <c r="N71" s="30"/>
      <c r="O71" s="113"/>
      <c r="P71" s="116">
        <f t="shared" si="2"/>
        <v>0</v>
      </c>
      <c r="Q71" s="109"/>
      <c r="R71" s="104"/>
      <c r="S71" s="5"/>
      <c r="T71" s="5"/>
      <c r="U71" s="5"/>
      <c r="V71" s="5"/>
      <c r="W71" s="5"/>
      <c r="X71" s="5"/>
    </row>
    <row r="72" spans="1:24" ht="24" x14ac:dyDescent="0.3">
      <c r="A72" s="5"/>
      <c r="B72" s="156"/>
      <c r="C72" s="25" t="s">
        <v>86</v>
      </c>
      <c r="D72" s="159" t="s">
        <v>173</v>
      </c>
      <c r="E72" s="159"/>
      <c r="F72" s="26" t="s">
        <v>15</v>
      </c>
      <c r="G72" s="27">
        <f t="shared" si="0"/>
        <v>10</v>
      </c>
      <c r="H72" s="28" t="s">
        <v>227</v>
      </c>
      <c r="I72" s="29"/>
      <c r="J72" s="23">
        <f t="shared" si="1"/>
        <v>0</v>
      </c>
      <c r="K72" s="30"/>
      <c r="L72" s="30"/>
      <c r="M72" s="30" t="str">
        <f>IF(OR(I72="취약",I72="수동점검"),대응방안!G64,"-")</f>
        <v>-</v>
      </c>
      <c r="N72" s="30"/>
      <c r="O72" s="113"/>
      <c r="P72" s="116">
        <f t="shared" si="2"/>
        <v>0</v>
      </c>
      <c r="Q72" s="109"/>
      <c r="R72" s="104"/>
      <c r="S72" s="5"/>
      <c r="T72" s="5"/>
      <c r="U72" s="5"/>
      <c r="V72" s="5"/>
      <c r="W72" s="5"/>
      <c r="X72" s="5"/>
    </row>
    <row r="73" spans="1:24" ht="36" x14ac:dyDescent="0.3">
      <c r="A73" s="5"/>
      <c r="B73" s="156"/>
      <c r="C73" s="25" t="s">
        <v>87</v>
      </c>
      <c r="D73" s="159" t="s">
        <v>174</v>
      </c>
      <c r="E73" s="159"/>
      <c r="F73" s="26" t="s">
        <v>17</v>
      </c>
      <c r="G73" s="27">
        <f t="shared" si="0"/>
        <v>6</v>
      </c>
      <c r="H73" s="28" t="s">
        <v>228</v>
      </c>
      <c r="I73" s="29"/>
      <c r="J73" s="23">
        <f t="shared" si="1"/>
        <v>0</v>
      </c>
      <c r="K73" s="37"/>
      <c r="L73" s="30"/>
      <c r="M73" s="30" t="str">
        <f>IF(OR(I73="취약",I73="수동점검"),대응방안!G65,"-")</f>
        <v>-</v>
      </c>
      <c r="N73" s="30"/>
      <c r="O73" s="113"/>
      <c r="P73" s="116">
        <f t="shared" si="2"/>
        <v>0</v>
      </c>
      <c r="Q73" s="109"/>
      <c r="R73" s="104"/>
      <c r="S73" s="5"/>
      <c r="T73" s="5"/>
      <c r="U73" s="5"/>
      <c r="V73" s="5"/>
      <c r="W73" s="5"/>
      <c r="X73" s="5"/>
    </row>
    <row r="74" spans="1:24" ht="24" x14ac:dyDescent="0.3">
      <c r="A74" s="5"/>
      <c r="B74" s="157"/>
      <c r="C74" s="31" t="s">
        <v>88</v>
      </c>
      <c r="D74" s="153" t="s">
        <v>175</v>
      </c>
      <c r="E74" s="153"/>
      <c r="F74" s="32" t="s">
        <v>16</v>
      </c>
      <c r="G74" s="27">
        <f t="shared" si="0"/>
        <v>8</v>
      </c>
      <c r="H74" s="33" t="s">
        <v>229</v>
      </c>
      <c r="I74" s="34"/>
      <c r="J74" s="23">
        <f t="shared" si="1"/>
        <v>0</v>
      </c>
      <c r="K74" s="35"/>
      <c r="L74" s="35"/>
      <c r="M74" s="35" t="str">
        <f>IF(OR(I74="취약",I74="수동점검"),대응방안!G66,"-")</f>
        <v>-</v>
      </c>
      <c r="N74" s="35"/>
      <c r="O74" s="114"/>
      <c r="P74" s="117">
        <f t="shared" si="2"/>
        <v>0</v>
      </c>
      <c r="Q74" s="110"/>
      <c r="R74" s="105"/>
      <c r="S74" s="5"/>
      <c r="T74" s="5"/>
      <c r="U74" s="5"/>
      <c r="V74" s="5"/>
      <c r="W74" s="5"/>
      <c r="X74" s="5"/>
    </row>
    <row r="75" spans="1:24" ht="48" x14ac:dyDescent="0.3">
      <c r="A75" s="5"/>
      <c r="B75" s="15" t="s">
        <v>20</v>
      </c>
      <c r="C75" s="13" t="s">
        <v>89</v>
      </c>
      <c r="D75" s="154" t="s">
        <v>176</v>
      </c>
      <c r="E75" s="154"/>
      <c r="F75" s="14" t="s">
        <v>15</v>
      </c>
      <c r="G75" s="27">
        <f t="shared" si="0"/>
        <v>10</v>
      </c>
      <c r="H75" s="42" t="s">
        <v>230</v>
      </c>
      <c r="I75" s="22"/>
      <c r="J75" s="23">
        <f t="shared" si="1"/>
        <v>0</v>
      </c>
      <c r="K75" s="43"/>
      <c r="L75" s="43"/>
      <c r="M75" s="24" t="str">
        <f>IF(OR(I75="취약",I75="수동점검"),대응방안!G67,"-")</f>
        <v>-</v>
      </c>
      <c r="N75" s="43"/>
      <c r="O75" s="115"/>
      <c r="P75" s="118">
        <f t="shared" si="2"/>
        <v>0</v>
      </c>
      <c r="Q75" s="111"/>
      <c r="R75" s="106"/>
      <c r="S75" s="5"/>
      <c r="T75" s="5"/>
      <c r="U75" s="5"/>
      <c r="V75" s="5"/>
      <c r="W75" s="5"/>
      <c r="X75" s="5"/>
    </row>
    <row r="76" spans="1:24" ht="24" x14ac:dyDescent="0.3">
      <c r="A76" s="5"/>
      <c r="B76" s="155" t="s">
        <v>21</v>
      </c>
      <c r="C76" s="18" t="s">
        <v>90</v>
      </c>
      <c r="D76" s="158" t="s">
        <v>177</v>
      </c>
      <c r="E76" s="158"/>
      <c r="F76" s="19" t="s">
        <v>16</v>
      </c>
      <c r="G76" s="27">
        <f t="shared" si="0"/>
        <v>8</v>
      </c>
      <c r="H76" s="21" t="s">
        <v>231</v>
      </c>
      <c r="I76" s="22"/>
      <c r="J76" s="23">
        <f t="shared" si="1"/>
        <v>0</v>
      </c>
      <c r="K76" s="24"/>
      <c r="L76" s="24"/>
      <c r="M76" s="24" t="str">
        <f>IF(OR(I76="취약",I76="수동점검"),대응방안!G68,"-")</f>
        <v>-</v>
      </c>
      <c r="N76" s="24"/>
      <c r="O76" s="112"/>
      <c r="P76" s="23">
        <f t="shared" si="2"/>
        <v>0</v>
      </c>
      <c r="Q76" s="108"/>
      <c r="R76" s="103"/>
      <c r="S76" s="5"/>
      <c r="T76" s="5"/>
      <c r="U76" s="5"/>
      <c r="V76" s="5"/>
      <c r="W76" s="5"/>
      <c r="X76" s="5"/>
    </row>
    <row r="77" spans="1:24" ht="48" x14ac:dyDescent="0.3">
      <c r="A77" s="5"/>
      <c r="B77" s="156"/>
      <c r="C77" s="25" t="s">
        <v>91</v>
      </c>
      <c r="D77" s="159" t="s">
        <v>178</v>
      </c>
      <c r="E77" s="159"/>
      <c r="F77" s="26" t="s">
        <v>16</v>
      </c>
      <c r="G77" s="27">
        <f t="shared" ref="G77:G78" si="3">IF(F77="상",10,IF(F77="중",8,6))</f>
        <v>8</v>
      </c>
      <c r="H77" s="28" t="s">
        <v>232</v>
      </c>
      <c r="I77" s="29"/>
      <c r="J77" s="23">
        <f t="shared" ref="J77:J78" si="4">IF(I77="N/A","N/A",(IF(I77="양호",1,IF(I77="위험수용",0.5,0))*$G77))</f>
        <v>0</v>
      </c>
      <c r="K77" s="37"/>
      <c r="L77" s="30"/>
      <c r="M77" s="30" t="str">
        <f>IF(OR(I77="취약",I77="수동점검"),대응방안!G69,"-")</f>
        <v>-</v>
      </c>
      <c r="N77" s="30"/>
      <c r="O77" s="113"/>
      <c r="P77" s="116">
        <f t="shared" ref="P77:P78" si="5">IF(O77="N/A","N/A",(IF(O77="양호",1,IF(O77="위험수용",0.5,0))*$G77))</f>
        <v>0</v>
      </c>
      <c r="Q77" s="109"/>
      <c r="R77" s="104"/>
      <c r="S77" s="5"/>
      <c r="T77" s="5"/>
      <c r="U77" s="5"/>
      <c r="V77" s="5"/>
      <c r="W77" s="5"/>
      <c r="X77" s="5"/>
    </row>
    <row r="78" spans="1:24" ht="24" x14ac:dyDescent="0.3">
      <c r="A78" s="5"/>
      <c r="B78" s="157"/>
      <c r="C78" s="31" t="s">
        <v>92</v>
      </c>
      <c r="D78" s="153" t="s">
        <v>179</v>
      </c>
      <c r="E78" s="153"/>
      <c r="F78" s="32" t="s">
        <v>16</v>
      </c>
      <c r="G78" s="27">
        <f t="shared" si="3"/>
        <v>8</v>
      </c>
      <c r="H78" s="33" t="s">
        <v>233</v>
      </c>
      <c r="I78" s="34"/>
      <c r="J78" s="23">
        <f t="shared" si="4"/>
        <v>0</v>
      </c>
      <c r="K78" s="35"/>
      <c r="L78" s="35"/>
      <c r="M78" s="35" t="str">
        <f>IF(OR(I78="취약",I78="수동점검"),대응방안!G70,"-")</f>
        <v>-</v>
      </c>
      <c r="N78" s="35"/>
      <c r="O78" s="114"/>
      <c r="P78" s="117">
        <f t="shared" si="5"/>
        <v>0</v>
      </c>
      <c r="Q78" s="110"/>
      <c r="R78" s="105"/>
      <c r="S78" s="5"/>
      <c r="T78" s="5"/>
      <c r="U78" s="5"/>
      <c r="V78" s="5"/>
      <c r="W78" s="5"/>
      <c r="X78" s="5"/>
    </row>
    <row r="79" spans="1:24" x14ac:dyDescent="0.3">
      <c r="A79" s="5"/>
      <c r="B79" s="169" t="s">
        <v>22</v>
      </c>
      <c r="C79" s="170"/>
      <c r="D79" s="170"/>
      <c r="E79" s="171"/>
      <c r="F79" s="38"/>
      <c r="G79" s="38">
        <f>SUM($G$12:$G$78)-SUMIF(I12:I78,"N/A",G12:G78)</f>
        <v>596</v>
      </c>
      <c r="H79" s="39"/>
      <c r="I79" s="38">
        <f>COUNTIF(I12:I78,"&lt;&gt;N/A")</f>
        <v>67</v>
      </c>
      <c r="J79" s="38">
        <f>SUM(J12:J78)</f>
        <v>0</v>
      </c>
      <c r="K79" s="40">
        <f>J79/G79</f>
        <v>0</v>
      </c>
      <c r="L79" s="40"/>
      <c r="M79" s="40"/>
      <c r="N79" s="40"/>
      <c r="O79" s="107"/>
      <c r="P79" s="38">
        <f>SUM(P12:P78)</f>
        <v>0</v>
      </c>
      <c r="Q79" s="40">
        <f>P79/G79</f>
        <v>0</v>
      </c>
      <c r="R79" s="107"/>
      <c r="S79" s="5"/>
      <c r="T79" s="5"/>
      <c r="U79" s="5"/>
      <c r="V79" s="5"/>
      <c r="W79" s="5"/>
      <c r="X79" s="5"/>
    </row>
    <row r="80" spans="1:24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</sheetData>
  <mergeCells count="86">
    <mergeCell ref="D59:E59"/>
    <mergeCell ref="D60:E60"/>
    <mergeCell ref="D78:E78"/>
    <mergeCell ref="D62:E62"/>
    <mergeCell ref="D63:E63"/>
    <mergeCell ref="D64:E64"/>
    <mergeCell ref="D65:E65"/>
    <mergeCell ref="D66:E66"/>
    <mergeCell ref="D67:E67"/>
    <mergeCell ref="D68:E68"/>
    <mergeCell ref="D71:E71"/>
    <mergeCell ref="D73:E73"/>
    <mergeCell ref="D74:E74"/>
    <mergeCell ref="D76:E76"/>
    <mergeCell ref="D42:E42"/>
    <mergeCell ref="D43:E43"/>
    <mergeCell ref="D45:E45"/>
    <mergeCell ref="D46:E46"/>
    <mergeCell ref="D47:E47"/>
    <mergeCell ref="D48:E48"/>
    <mergeCell ref="D75:E75"/>
    <mergeCell ref="B76:B78"/>
    <mergeCell ref="D77:E77"/>
    <mergeCell ref="B79:E79"/>
    <mergeCell ref="D61:E61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34:E34"/>
    <mergeCell ref="D35:E35"/>
    <mergeCell ref="D36:E36"/>
    <mergeCell ref="D37:E37"/>
    <mergeCell ref="D23:E23"/>
    <mergeCell ref="D24:E24"/>
    <mergeCell ref="D29:E29"/>
    <mergeCell ref="D30:E30"/>
    <mergeCell ref="D31:E31"/>
    <mergeCell ref="D38:E38"/>
    <mergeCell ref="D32:E32"/>
    <mergeCell ref="D33:E33"/>
    <mergeCell ref="D44:E44"/>
    <mergeCell ref="B45:B74"/>
    <mergeCell ref="D69:E69"/>
    <mergeCell ref="D70:E70"/>
    <mergeCell ref="D72:E72"/>
    <mergeCell ref="D39:E39"/>
    <mergeCell ref="D40:E40"/>
    <mergeCell ref="D41:E41"/>
    <mergeCell ref="B25:B44"/>
    <mergeCell ref="D25:E25"/>
    <mergeCell ref="D26:E26"/>
    <mergeCell ref="D27:E27"/>
    <mergeCell ref="D28:E28"/>
    <mergeCell ref="B10:B11"/>
    <mergeCell ref="C10:C11"/>
    <mergeCell ref="D10:E11"/>
    <mergeCell ref="F10:F11"/>
    <mergeCell ref="B12:B24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O10:R10"/>
    <mergeCell ref="I10:N10"/>
    <mergeCell ref="G10:G11"/>
    <mergeCell ref="H10:H11"/>
    <mergeCell ref="C4:D4"/>
    <mergeCell ref="F4:H4"/>
    <mergeCell ref="C5:D5"/>
    <mergeCell ref="F5:H5"/>
    <mergeCell ref="C6:D6"/>
    <mergeCell ref="F6:H6"/>
  </mergeCells>
  <phoneticPr fontId="1" type="noConversion"/>
  <conditionalFormatting sqref="F12:N78">
    <cfRule type="expression" dxfId="7" priority="6">
      <formula>$I12="N/A"</formula>
    </cfRule>
    <cfRule type="expression" dxfId="6" priority="7">
      <formula>$I12="수동점검"</formula>
    </cfRule>
    <cfRule type="expression" dxfId="5" priority="8">
      <formula>$I12="취약"</formula>
    </cfRule>
  </conditionalFormatting>
  <conditionalFormatting sqref="I12:I78">
    <cfRule type="expression" dxfId="4" priority="4">
      <formula>$I12="수동점검"</formula>
    </cfRule>
    <cfRule type="expression" dxfId="3" priority="5">
      <formula>$I12="취약"</formula>
    </cfRule>
  </conditionalFormatting>
  <conditionalFormatting sqref="P12:P78">
    <cfRule type="expression" dxfId="2" priority="1">
      <formula>$I12="N/A"</formula>
    </cfRule>
    <cfRule type="expression" dxfId="1" priority="2">
      <formula>$I12="수동점검"</formula>
    </cfRule>
    <cfRule type="expression" dxfId="0" priority="3">
      <formula>$I12="취약"</formula>
    </cfRule>
  </conditionalFormatting>
  <pageMargins left="0.7" right="0.7" top="0.75" bottom="0.75" header="0.3" footer="0.3"/>
  <pageSetup paperSize="9" scale="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5</vt:i4>
      </vt:variant>
    </vt:vector>
  </HeadingPairs>
  <TitlesOfParts>
    <vt:vector size="15" baseType="lpstr">
      <vt:lpstr>hidden</vt:lpstr>
      <vt:lpstr>Ⅰ. 표지</vt:lpstr>
      <vt:lpstr>Ⅱ. 개요</vt:lpstr>
      <vt:lpstr>Ⅲ. 점검대상</vt:lpstr>
      <vt:lpstr>Ⅳ. 보안점검 결과</vt:lpstr>
      <vt:lpstr>대응방안</vt:lpstr>
      <vt:lpstr>Ⅳ. 보안점검 총평</vt:lpstr>
      <vt:lpstr>Ⅴ. 이행점검 결과</vt:lpstr>
      <vt:lpstr>Ⅴ. 이행점검 총평</vt:lpstr>
      <vt:lpstr>template</vt:lpstr>
      <vt:lpstr>'Ⅰ. 표지'!Print_Area</vt:lpstr>
      <vt:lpstr>'Ⅲ. 점검대상'!Print_Area</vt:lpstr>
      <vt:lpstr>'Ⅳ. 보안점검 총평'!Print_Area</vt:lpstr>
      <vt:lpstr>'Ⅴ. 이행점검 총평'!Print_Area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지환 이</dc:creator>
  <cp:lastModifiedBy>지환 이</cp:lastModifiedBy>
  <dcterms:created xsi:type="dcterms:W3CDTF">2026-04-17T05:29:23Z</dcterms:created>
  <dcterms:modified xsi:type="dcterms:W3CDTF">2026-05-14T04:19:16Z</dcterms:modified>
</cp:coreProperties>
</file>